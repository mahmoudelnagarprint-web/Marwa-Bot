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كتالوج الرئيسي" sheetId="1" state="visible" r:id="rId1"/>
  </sheets>
  <definedNames>
    <definedName name="_xlnm._FilterDatabase" localSheetId="0" hidden="1">'الكتالوج الرئيسي'!$A$2:$N$109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7F7F7F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horizontal="left" vertical="center"/>
      <protection locked="0" hidden="0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6" customWidth="1" min="3" max="3"/>
    <col width="16" customWidth="1" min="4" max="4"/>
    <col width="18" customWidth="1" min="5" max="5"/>
    <col width="13" customWidth="1" min="6" max="6"/>
    <col width="11" customWidth="1" min="7" max="7"/>
    <col width="13" customWidth="1" min="8" max="8"/>
    <col width="14" customWidth="1" min="9" max="9"/>
    <col width="11" customWidth="1" min="10" max="10"/>
    <col width="12" customWidth="1" min="11" max="11"/>
    <col width="12" customWidth="1" min="12" max="12"/>
    <col width="13" customWidth="1" min="13" max="13"/>
    <col width="46" customWidth="1" min="14" max="14"/>
  </cols>
  <sheetData>
    <row r="1" ht="24" customHeight="1">
      <c r="A1" s="1" t="inlineStr">
        <is>
          <t>كتالوج منتجات النجار برنت — Master Excel Catalog (تعديل آمن + معادلات حية)</t>
        </is>
      </c>
    </row>
    <row r="2">
      <c r="A2" s="2" t="inlineStr">
        <is>
          <t>id</t>
        </is>
      </c>
      <c r="B2" s="2" t="inlineStr">
        <is>
          <t>name</t>
        </is>
      </c>
      <c r="C2" s="2" t="inlineStr">
        <is>
          <t>category</t>
        </is>
      </c>
      <c r="D2" s="2" t="inlineStr">
        <is>
          <t>material_type</t>
        </is>
      </c>
      <c r="E2" s="2" t="inlineStr">
        <is>
          <t>operation_type</t>
        </is>
      </c>
      <c r="F2" s="2" t="inlineStr">
        <is>
          <t>inventory_type</t>
        </is>
      </c>
      <c r="G2" s="2" t="inlineStr">
        <is>
          <t>stock</t>
        </is>
      </c>
      <c r="H2" s="2" t="inlineStr">
        <is>
          <t>raw_material_cost</t>
        </is>
      </c>
      <c r="I2" s="2" t="inlineStr">
        <is>
          <t>manufacturing_cost</t>
        </is>
      </c>
      <c r="J2" s="2" t="inlineStr">
        <is>
          <t>total_cost</t>
        </is>
      </c>
      <c r="K2" s="2" t="inlineStr">
        <is>
          <t>selling_price</t>
        </is>
      </c>
      <c r="L2" s="2" t="inlineStr">
        <is>
          <t>profit_margin</t>
        </is>
      </c>
      <c r="M2" s="2" t="inlineStr">
        <is>
          <t>profit_percentage</t>
        </is>
      </c>
      <c r="N2" s="2" t="inlineStr">
        <is>
          <t>notes</t>
        </is>
      </c>
    </row>
    <row r="3">
      <c r="A3" s="3" t="inlineStr">
        <is>
          <t>كود المنتج (مغلق)</t>
        </is>
      </c>
      <c r="B3" s="3" t="inlineStr">
        <is>
          <t>اسم المنتج</t>
        </is>
      </c>
      <c r="C3" s="3" t="inlineStr">
        <is>
          <t>التصنيف</t>
        </is>
      </c>
      <c r="D3" s="3" t="inlineStr">
        <is>
          <t>نوع الخامة</t>
        </is>
      </c>
      <c r="E3" s="3" t="inlineStr">
        <is>
          <t>مسار التشغيل</t>
        </is>
      </c>
      <c r="F3" s="3" t="inlineStr">
        <is>
          <t>نوع المخزون</t>
        </is>
      </c>
      <c r="G3" s="3" t="inlineStr">
        <is>
          <t>الكمية الحالية</t>
        </is>
      </c>
      <c r="H3" s="3" t="inlineStr">
        <is>
          <t>تكلفة الخامة (EGP)</t>
        </is>
      </c>
      <c r="I3" s="3" t="inlineStr">
        <is>
          <t>تكلفة التشغيل (EGP)</t>
        </is>
      </c>
      <c r="J3" s="3" t="inlineStr">
        <is>
          <t>إجمالي التكلفة (تلقائي)</t>
        </is>
      </c>
      <c r="K3" s="3" t="inlineStr">
        <is>
          <t>سعر البيع (EGP)</t>
        </is>
      </c>
      <c r="L3" s="3" t="inlineStr">
        <is>
          <t>صافي الربح (تلقائي)</t>
        </is>
      </c>
      <c r="M3" s="3" t="inlineStr">
        <is>
          <t>نسبة الربح % (تلقائي)</t>
        </is>
      </c>
      <c r="N3" s="3" t="inlineStr">
        <is>
          <t>ملاحظات تشغيلية</t>
        </is>
      </c>
    </row>
    <row r="4">
      <c r="A4" s="4" t="n">
        <v>1</v>
      </c>
      <c r="B4" s="5" t="inlineStr">
        <is>
          <t>بصمة قلب أكريليك كاملة</t>
        </is>
      </c>
      <c r="C4" s="6" t="inlineStr">
        <is>
          <t>أكريليك/هدايا</t>
        </is>
      </c>
      <c r="D4" s="7" t="inlineStr">
        <is>
          <t>needs_review</t>
        </is>
      </c>
      <c r="E4" s="7" t="inlineStr">
        <is>
          <t>needs_review</t>
        </is>
      </c>
      <c r="F4" s="7" t="inlineStr"/>
      <c r="G4" s="7" t="n">
        <v>-4</v>
      </c>
      <c r="H4" s="8" t="n">
        <v>0</v>
      </c>
      <c r="I4" s="8" t="n">
        <v>0</v>
      </c>
      <c r="J4" s="9">
        <f>H4+I4</f>
        <v/>
      </c>
      <c r="K4" s="8" t="n">
        <v>300</v>
      </c>
      <c r="L4" s="10">
        <f>K4-J4</f>
        <v/>
      </c>
      <c r="M4" s="10">
        <f>IF(K4&gt;0, J4/K4*100, "")</f>
        <v/>
      </c>
      <c r="N4" s="11" t="inlineStr">
        <is>
          <t>جملة: 250.0 ج</t>
        </is>
      </c>
    </row>
    <row r="5">
      <c r="A5" s="4" t="n">
        <v>2</v>
      </c>
      <c r="B5" s="5" t="inlineStr">
        <is>
          <t>طقم سبوع</t>
        </is>
      </c>
      <c r="C5" s="6" t="inlineStr">
        <is>
          <t>هدايا مناسبات</t>
        </is>
      </c>
      <c r="D5" s="7" t="inlineStr">
        <is>
          <t>unknown</t>
        </is>
      </c>
      <c r="E5" s="7" t="inlineStr">
        <is>
          <t>unknown</t>
        </is>
      </c>
      <c r="F5" s="7" t="inlineStr"/>
      <c r="G5" s="7" t="n">
        <v>-7</v>
      </c>
      <c r="H5" s="8" t="n">
        <v>0</v>
      </c>
      <c r="I5" s="8" t="n">
        <v>0</v>
      </c>
      <c r="J5" s="9">
        <f>H5+I5</f>
        <v/>
      </c>
      <c r="K5" s="8" t="n">
        <v>260</v>
      </c>
      <c r="L5" s="10">
        <f>K5-J5</f>
        <v/>
      </c>
      <c r="M5" s="10">
        <f>IF(K5&gt;0, J5/K5*100, "")</f>
        <v/>
      </c>
      <c r="N5" s="11" t="inlineStr"/>
    </row>
    <row r="6">
      <c r="A6" s="4" t="n">
        <v>3</v>
      </c>
      <c r="B6" s="5" t="inlineStr">
        <is>
          <t>بوكس حرف</t>
        </is>
      </c>
      <c r="C6" s="6" t="inlineStr">
        <is>
          <t>بوكسات/خشب</t>
        </is>
      </c>
      <c r="D6" s="7" t="inlineStr">
        <is>
          <t>wood</t>
        </is>
      </c>
      <c r="E6" s="7" t="inlineStr">
        <is>
          <t>laser</t>
        </is>
      </c>
      <c r="F6" s="7" t="inlineStr">
        <is>
          <t>مستمر</t>
        </is>
      </c>
      <c r="G6" s="7" t="inlineStr">
        <is>
          <t>مستمر</t>
        </is>
      </c>
      <c r="H6" s="8" t="n">
        <v>0</v>
      </c>
      <c r="I6" s="8" t="n">
        <v>0</v>
      </c>
      <c r="J6" s="9">
        <f>H6+I6</f>
        <v/>
      </c>
      <c r="K6" s="8" t="n">
        <v>170</v>
      </c>
      <c r="L6" s="10">
        <f>K6-J6</f>
        <v/>
      </c>
      <c r="M6" s="10">
        <f>IF(K6&gt;0, J6/K6*100, "")</f>
        <v/>
      </c>
      <c r="N6" s="11" t="inlineStr">
        <is>
          <t>جملة: 160.0 ج</t>
        </is>
      </c>
    </row>
    <row r="7">
      <c r="A7" s="4" t="n">
        <v>4</v>
      </c>
      <c r="B7" s="5" t="inlineStr">
        <is>
          <t>مبخرة أكريليك</t>
        </is>
      </c>
      <c r="C7" s="6" t="inlineStr">
        <is>
          <t>أكريليك/ديكور</t>
        </is>
      </c>
      <c r="D7" s="7" t="inlineStr">
        <is>
          <t>acrylic</t>
        </is>
      </c>
      <c r="E7" s="7" t="inlineStr">
        <is>
          <t>laser</t>
        </is>
      </c>
      <c r="F7" s="7" t="inlineStr">
        <is>
          <t>مستمر</t>
        </is>
      </c>
      <c r="G7" s="7" t="inlineStr">
        <is>
          <t>مستمر</t>
        </is>
      </c>
      <c r="H7" s="8" t="n">
        <v>0</v>
      </c>
      <c r="I7" s="8" t="n">
        <v>0</v>
      </c>
      <c r="J7" s="9">
        <f>H7+I7</f>
        <v/>
      </c>
      <c r="K7" s="8" t="n">
        <v>200</v>
      </c>
      <c r="L7" s="10">
        <f>K7-J7</f>
        <v/>
      </c>
      <c r="M7" s="10">
        <f>IF(K7&gt;0, J7/K7*100, "")</f>
        <v/>
      </c>
      <c r="N7" s="11" t="inlineStr">
        <is>
          <t>جملة: 90.0 ج</t>
        </is>
      </c>
    </row>
    <row r="8">
      <c r="A8" s="4" t="n">
        <v>5</v>
      </c>
      <c r="B8" s="5" t="inlineStr">
        <is>
          <t>مبخرة استاند</t>
        </is>
      </c>
      <c r="C8" s="6" t="inlineStr">
        <is>
          <t>أكريليك/ديكور</t>
        </is>
      </c>
      <c r="D8" s="7" t="inlineStr">
        <is>
          <t>acrylic</t>
        </is>
      </c>
      <c r="E8" s="7" t="inlineStr">
        <is>
          <t>laser</t>
        </is>
      </c>
      <c r="F8" s="7" t="inlineStr">
        <is>
          <t>مستمر</t>
        </is>
      </c>
      <c r="G8" s="7" t="inlineStr">
        <is>
          <t>مستمر</t>
        </is>
      </c>
      <c r="H8" s="8" t="n">
        <v>0</v>
      </c>
      <c r="I8" s="8" t="n">
        <v>0</v>
      </c>
      <c r="J8" s="9">
        <f>H8+I8</f>
        <v/>
      </c>
      <c r="K8" s="8" t="n">
        <v>200</v>
      </c>
      <c r="L8" s="10">
        <f>K8-J8</f>
        <v/>
      </c>
      <c r="M8" s="10">
        <f>IF(K8&gt;0, J8/K8*100, "")</f>
        <v/>
      </c>
      <c r="N8" s="11" t="inlineStr">
        <is>
          <t>جملة: 170.0 ج</t>
        </is>
      </c>
    </row>
    <row r="9">
      <c r="A9" s="4" t="n">
        <v>6</v>
      </c>
      <c r="B9" s="5" t="inlineStr">
        <is>
          <t>طارة خشب</t>
        </is>
      </c>
      <c r="C9" s="6" t="inlineStr">
        <is>
          <t>خشب/ديكور</t>
        </is>
      </c>
      <c r="D9" s="7" t="inlineStr">
        <is>
          <t>wood</t>
        </is>
      </c>
      <c r="E9" s="7" t="inlineStr">
        <is>
          <t>laser</t>
        </is>
      </c>
      <c r="F9" s="7" t="inlineStr">
        <is>
          <t>مستمر</t>
        </is>
      </c>
      <c r="G9" s="7" t="inlineStr">
        <is>
          <t>مستمر</t>
        </is>
      </c>
      <c r="H9" s="8" t="n">
        <v>0</v>
      </c>
      <c r="I9" s="8" t="n">
        <v>0</v>
      </c>
      <c r="J9" s="9">
        <f>H9+I9</f>
        <v/>
      </c>
      <c r="K9" s="8" t="n">
        <v>170</v>
      </c>
      <c r="L9" s="10">
        <f>K9-J9</f>
        <v/>
      </c>
      <c r="M9" s="10">
        <f>IF(K9&gt;0, J9/K9*100, "")</f>
        <v/>
      </c>
      <c r="N9" s="11" t="inlineStr">
        <is>
          <t>جملة: 100.0 ج</t>
        </is>
      </c>
    </row>
    <row r="10">
      <c r="A10" s="4" t="n">
        <v>7</v>
      </c>
      <c r="B10" s="5" t="inlineStr">
        <is>
          <t>ساعة ديكور حائط</t>
        </is>
      </c>
      <c r="C10" s="6" t="inlineStr">
        <is>
          <t>ديكور</t>
        </is>
      </c>
      <c r="D10" s="7" t="inlineStr">
        <is>
          <t>unknown</t>
        </is>
      </c>
      <c r="E10" s="7" t="inlineStr">
        <is>
          <t>unknown</t>
        </is>
      </c>
      <c r="F10" s="7" t="inlineStr"/>
      <c r="G10" s="7" t="n">
        <v>-1</v>
      </c>
      <c r="H10" s="8" t="n">
        <v>0</v>
      </c>
      <c r="I10" s="8" t="n">
        <v>0</v>
      </c>
      <c r="J10" s="9">
        <f>H10+I10</f>
        <v/>
      </c>
      <c r="K10" s="8" t="n">
        <v>259</v>
      </c>
      <c r="L10" s="10">
        <f>K10-J10</f>
        <v/>
      </c>
      <c r="M10" s="10">
        <f>IF(K10&gt;0, J10/K10*100, "")</f>
        <v/>
      </c>
      <c r="N10" s="11" t="inlineStr">
        <is>
          <t>جملة: 200.0 ج</t>
        </is>
      </c>
    </row>
    <row r="11">
      <c r="A11" s="4" t="n">
        <v>8</v>
      </c>
      <c r="B11" s="5" t="inlineStr">
        <is>
          <t>مرايا سحرية</t>
        </is>
      </c>
      <c r="C11" s="6" t="inlineStr">
        <is>
          <t>ديكور/مرايا</t>
        </is>
      </c>
      <c r="D11" s="7" t="inlineStr">
        <is>
          <t>unknown</t>
        </is>
      </c>
      <c r="E11" s="7" t="inlineStr">
        <is>
          <t>unknown</t>
        </is>
      </c>
      <c r="F11" s="7" t="inlineStr"/>
      <c r="G11" s="7" t="n">
        <v>0</v>
      </c>
      <c r="H11" s="8" t="n">
        <v>0</v>
      </c>
      <c r="I11" s="8" t="n">
        <v>0</v>
      </c>
      <c r="J11" s="9">
        <f>H11+I11</f>
        <v/>
      </c>
      <c r="K11" s="8" t="n">
        <v>160</v>
      </c>
      <c r="L11" s="10">
        <f>K11-J11</f>
        <v/>
      </c>
      <c r="M11" s="10">
        <f>IF(K11&gt;0, J11/K11*100, "")</f>
        <v/>
      </c>
      <c r="N11" s="11" t="inlineStr"/>
    </row>
    <row r="12">
      <c r="A12" s="4" t="n">
        <v>9</v>
      </c>
      <c r="B12" s="5" t="inlineStr">
        <is>
          <t>مج عادي</t>
        </is>
      </c>
      <c r="C12" s="6" t="inlineStr">
        <is>
          <t>مجات</t>
        </is>
      </c>
      <c r="D12" s="7" t="inlineStr">
        <is>
          <t>sublimation</t>
        </is>
      </c>
      <c r="E12" s="7" t="inlineStr">
        <is>
          <t>sublimation</t>
        </is>
      </c>
      <c r="F12" s="7" t="inlineStr">
        <is>
          <t>رصيد بالعدد</t>
        </is>
      </c>
      <c r="G12" s="7" t="n">
        <v>-24</v>
      </c>
      <c r="H12" s="8" t="n">
        <v>0</v>
      </c>
      <c r="I12" s="8" t="n">
        <v>0</v>
      </c>
      <c r="J12" s="9">
        <f>H12+I12</f>
        <v/>
      </c>
      <c r="K12" s="8" t="n">
        <v>100</v>
      </c>
      <c r="L12" s="10">
        <f>K12-J12</f>
        <v/>
      </c>
      <c r="M12" s="10">
        <f>IF(K12&gt;0, J12/K12*100, "")</f>
        <v/>
      </c>
      <c r="N12" s="11" t="inlineStr">
        <is>
          <t>جملة: 80.0 ج</t>
        </is>
      </c>
    </row>
    <row r="13">
      <c r="A13" s="4" t="n">
        <v>10</v>
      </c>
      <c r="B13" s="5" t="inlineStr">
        <is>
          <t>مج ديجيتال</t>
        </is>
      </c>
      <c r="C13" s="6" t="inlineStr">
        <is>
          <t>مجات</t>
        </is>
      </c>
      <c r="D13" s="7" t="inlineStr">
        <is>
          <t>sublimation</t>
        </is>
      </c>
      <c r="E13" s="7" t="inlineStr">
        <is>
          <t>sublimation</t>
        </is>
      </c>
      <c r="F13" s="7" t="inlineStr">
        <is>
          <t>رصيد بالعدد</t>
        </is>
      </c>
      <c r="G13" s="7" t="n">
        <v>-3</v>
      </c>
      <c r="H13" s="8" t="n">
        <v>0</v>
      </c>
      <c r="I13" s="8" t="n">
        <v>0</v>
      </c>
      <c r="J13" s="9">
        <f>H13+I13</f>
        <v/>
      </c>
      <c r="K13" s="8" t="n">
        <v>140</v>
      </c>
      <c r="L13" s="10">
        <f>K13-J13</f>
        <v/>
      </c>
      <c r="M13" s="10">
        <f>IF(K13&gt;0, J13/K13*100, "")</f>
        <v/>
      </c>
      <c r="N13" s="11" t="inlineStr"/>
    </row>
    <row r="14">
      <c r="A14" s="4" t="n">
        <v>11</v>
      </c>
      <c r="B14" s="5" t="inlineStr">
        <is>
          <t>مج سحري</t>
        </is>
      </c>
      <c r="C14" s="6" t="inlineStr">
        <is>
          <t>مجات</t>
        </is>
      </c>
      <c r="D14" s="7" t="inlineStr">
        <is>
          <t>sublimation</t>
        </is>
      </c>
      <c r="E14" s="7" t="inlineStr">
        <is>
          <t>sublimation</t>
        </is>
      </c>
      <c r="F14" s="7" t="inlineStr">
        <is>
          <t>رصيد بالعدد</t>
        </is>
      </c>
      <c r="G14" s="7" t="n">
        <v>-2</v>
      </c>
      <c r="H14" s="8" t="n">
        <v>0</v>
      </c>
      <c r="I14" s="8" t="n">
        <v>0</v>
      </c>
      <c r="J14" s="9">
        <f>H14+I14</f>
        <v/>
      </c>
      <c r="K14" s="8" t="n">
        <v>120</v>
      </c>
      <c r="L14" s="10">
        <f>K14-J14</f>
        <v/>
      </c>
      <c r="M14" s="10">
        <f>IF(K14&gt;0, J14/K14*100, "")</f>
        <v/>
      </c>
      <c r="N14" s="11" t="inlineStr">
        <is>
          <t>جملة: 100.0 ج</t>
        </is>
      </c>
    </row>
    <row r="15">
      <c r="A15" s="4" t="n">
        <v>12</v>
      </c>
      <c r="B15" s="5" t="inlineStr">
        <is>
          <t>سلسلة ذهبي</t>
        </is>
      </c>
      <c r="C15" s="6" t="inlineStr">
        <is>
          <t>اكسسوارات</t>
        </is>
      </c>
      <c r="D15" s="7" t="inlineStr">
        <is>
          <t>unknown</t>
        </is>
      </c>
      <c r="E15" s="7" t="inlineStr">
        <is>
          <t>unknown</t>
        </is>
      </c>
      <c r="F15" s="7" t="inlineStr"/>
      <c r="G15" s="7" t="n">
        <v>-1</v>
      </c>
      <c r="H15" s="8" t="n">
        <v>0</v>
      </c>
      <c r="I15" s="8" t="n">
        <v>0</v>
      </c>
      <c r="J15" s="9">
        <f>H15+I15</f>
        <v/>
      </c>
      <c r="K15" s="8" t="n">
        <v>100</v>
      </c>
      <c r="L15" s="10">
        <f>K15-J15</f>
        <v/>
      </c>
      <c r="M15" s="10">
        <f>IF(K15&gt;0, J15/K15*100, "")</f>
        <v/>
      </c>
      <c r="N15" s="11" t="inlineStr">
        <is>
          <t>جملة: 60.0 ج</t>
        </is>
      </c>
    </row>
    <row r="16">
      <c r="A16" s="4" t="n">
        <v>13</v>
      </c>
      <c r="B16" s="5" t="inlineStr">
        <is>
          <t>محفظة</t>
        </is>
      </c>
      <c r="C16" s="6" t="inlineStr">
        <is>
          <t>اكسسوارات/جلد</t>
        </is>
      </c>
      <c r="D16" s="7" t="inlineStr">
        <is>
          <t>engraving_ready</t>
        </is>
      </c>
      <c r="E16" s="7" t="inlineStr">
        <is>
          <t>engraving</t>
        </is>
      </c>
      <c r="F16" s="7" t="inlineStr">
        <is>
          <t>مستمر</t>
        </is>
      </c>
      <c r="G16" s="7" t="inlineStr">
        <is>
          <t>مستمر</t>
        </is>
      </c>
      <c r="H16" s="8" t="n">
        <v>0</v>
      </c>
      <c r="I16" s="8" t="n">
        <v>0</v>
      </c>
      <c r="J16" s="9">
        <f>H16+I16</f>
        <v/>
      </c>
      <c r="K16" s="8" t="n">
        <v>130</v>
      </c>
      <c r="L16" s="10">
        <f>K16-J16</f>
        <v/>
      </c>
      <c r="M16" s="10">
        <f>IF(K16&gt;0, J16/K16*100, "")</f>
        <v/>
      </c>
      <c r="N16" s="11" t="inlineStr"/>
    </row>
    <row r="17">
      <c r="A17" s="4" t="n">
        <v>14</v>
      </c>
      <c r="B17" s="5" t="inlineStr">
        <is>
          <t>محفظة سبشيال</t>
        </is>
      </c>
      <c r="C17" s="6" t="inlineStr">
        <is>
          <t>اكسسوارات/جلد</t>
        </is>
      </c>
      <c r="D17" s="7" t="inlineStr">
        <is>
          <t>engraving_ready</t>
        </is>
      </c>
      <c r="E17" s="7" t="inlineStr">
        <is>
          <t>engraving</t>
        </is>
      </c>
      <c r="F17" s="7" t="inlineStr">
        <is>
          <t>مستمر</t>
        </is>
      </c>
      <c r="G17" s="7" t="inlineStr">
        <is>
          <t>مستمر</t>
        </is>
      </c>
      <c r="H17" s="8" t="n">
        <v>0</v>
      </c>
      <c r="I17" s="8" t="n">
        <v>0</v>
      </c>
      <c r="J17" s="9">
        <f>H17+I17</f>
        <v/>
      </c>
      <c r="K17" s="8" t="n">
        <v>190</v>
      </c>
      <c r="L17" s="10">
        <f>K17-J17</f>
        <v/>
      </c>
      <c r="M17" s="10">
        <f>IF(K17&gt;0, J17/K17*100, "")</f>
        <v/>
      </c>
      <c r="N17" s="11" t="inlineStr">
        <is>
          <t>جملة: 150.0 ج</t>
        </is>
      </c>
    </row>
    <row r="18">
      <c r="A18" s="4" t="n">
        <v>15</v>
      </c>
      <c r="B18" s="5" t="inlineStr">
        <is>
          <t>نوتبوك</t>
        </is>
      </c>
      <c r="C18" s="6" t="inlineStr">
        <is>
          <t>قرطاسية</t>
        </is>
      </c>
      <c r="D18" s="7" t="inlineStr">
        <is>
          <t>unknown</t>
        </is>
      </c>
      <c r="E18" s="7" t="inlineStr">
        <is>
          <t>unknown</t>
        </is>
      </c>
      <c r="F18" s="7" t="inlineStr"/>
      <c r="G18" s="7" t="n">
        <v>-7</v>
      </c>
      <c r="H18" s="8" t="n">
        <v>0</v>
      </c>
      <c r="I18" s="8" t="n">
        <v>0</v>
      </c>
      <c r="J18" s="9">
        <f>H18+I18</f>
        <v/>
      </c>
      <c r="K18" s="8" t="n">
        <v>75</v>
      </c>
      <c r="L18" s="10">
        <f>K18-J18</f>
        <v/>
      </c>
      <c r="M18" s="10">
        <f>IF(K18&gt;0, J18/K18*100, "")</f>
        <v/>
      </c>
      <c r="N18" s="11" t="inlineStr">
        <is>
          <t>جملة: 65.0 ج</t>
        </is>
      </c>
    </row>
    <row r="19">
      <c r="A19" s="4" t="n">
        <v>16</v>
      </c>
      <c r="B19" s="5" t="inlineStr">
        <is>
          <t>قلم مضيء</t>
        </is>
      </c>
      <c r="C19" s="6" t="inlineStr">
        <is>
          <t>قرطاسية</t>
        </is>
      </c>
      <c r="D19" s="7" t="inlineStr">
        <is>
          <t>engraving_ready</t>
        </is>
      </c>
      <c r="E19" s="7" t="inlineStr">
        <is>
          <t>engraving</t>
        </is>
      </c>
      <c r="F19" s="7" t="inlineStr">
        <is>
          <t>مستمر</t>
        </is>
      </c>
      <c r="G19" s="7" t="inlineStr">
        <is>
          <t>مستمر</t>
        </is>
      </c>
      <c r="H19" s="8" t="n">
        <v>0</v>
      </c>
      <c r="I19" s="8" t="n">
        <v>0</v>
      </c>
      <c r="J19" s="9">
        <f>H19+I19</f>
        <v/>
      </c>
      <c r="K19" s="8" t="n">
        <v>40</v>
      </c>
      <c r="L19" s="10">
        <f>K19-J19</f>
        <v/>
      </c>
      <c r="M19" s="10">
        <f>IF(K19&gt;0, J19/K19*100, "")</f>
        <v/>
      </c>
      <c r="N19" s="11" t="inlineStr"/>
    </row>
    <row r="20">
      <c r="A20" s="4" t="n">
        <v>17</v>
      </c>
      <c r="B20" s="5" t="inlineStr">
        <is>
          <t>ديكور مطبخ</t>
        </is>
      </c>
      <c r="C20" s="6" t="inlineStr">
        <is>
          <t>ديكور</t>
        </is>
      </c>
      <c r="D20" s="7" t="inlineStr">
        <is>
          <t>unknown</t>
        </is>
      </c>
      <c r="E20" s="7" t="inlineStr">
        <is>
          <t>unknown</t>
        </is>
      </c>
      <c r="F20" s="7" t="inlineStr"/>
      <c r="G20" s="7" t="n">
        <v>0</v>
      </c>
      <c r="H20" s="8" t="n">
        <v>0</v>
      </c>
      <c r="I20" s="8" t="n">
        <v>0</v>
      </c>
      <c r="J20" s="9">
        <f>H20+I20</f>
        <v/>
      </c>
      <c r="K20" s="8" t="n">
        <v>150</v>
      </c>
      <c r="L20" s="10">
        <f>K20-J20</f>
        <v/>
      </c>
      <c r="M20" s="10">
        <f>IF(K20&gt;0, J20/K20*100, "")</f>
        <v/>
      </c>
      <c r="N20" s="11" t="inlineStr">
        <is>
          <t>جملة: 120.0 ج</t>
        </is>
      </c>
    </row>
    <row r="21">
      <c r="A21" s="4" t="n">
        <v>18</v>
      </c>
      <c r="B21" s="5" t="inlineStr">
        <is>
          <t>علاقة مفاتيح دائرية</t>
        </is>
      </c>
      <c r="C21" s="6" t="inlineStr">
        <is>
          <t>اكسسوارات</t>
        </is>
      </c>
      <c r="D21" s="7" t="inlineStr">
        <is>
          <t>unknown</t>
        </is>
      </c>
      <c r="E21" s="7" t="inlineStr">
        <is>
          <t>unknown</t>
        </is>
      </c>
      <c r="F21" s="7" t="inlineStr"/>
      <c r="G21" s="7" t="n">
        <v>-3</v>
      </c>
      <c r="H21" s="8" t="n">
        <v>0</v>
      </c>
      <c r="I21" s="8" t="n">
        <v>0</v>
      </c>
      <c r="J21" s="9">
        <f>H21+I21</f>
        <v/>
      </c>
      <c r="K21" s="8" t="n">
        <v>85</v>
      </c>
      <c r="L21" s="10">
        <f>K21-J21</f>
        <v/>
      </c>
      <c r="M21" s="10">
        <f>IF(K21&gt;0, J21/K21*100, "")</f>
        <v/>
      </c>
      <c r="N21" s="11" t="inlineStr"/>
    </row>
    <row r="22">
      <c r="A22" s="4" t="n">
        <v>19</v>
      </c>
      <c r="B22" s="5" t="inlineStr">
        <is>
          <t>طباعة استيكر</t>
        </is>
      </c>
      <c r="C22" s="6" t="inlineStr">
        <is>
          <t>طباعة</t>
        </is>
      </c>
      <c r="D22" s="7" t="inlineStr">
        <is>
          <t>unknown</t>
        </is>
      </c>
      <c r="E22" s="7" t="inlineStr">
        <is>
          <t>unknown</t>
        </is>
      </c>
      <c r="F22" s="7" t="inlineStr"/>
      <c r="G22" s="7" t="n">
        <v>-3</v>
      </c>
      <c r="H22" s="8" t="n">
        <v>0</v>
      </c>
      <c r="I22" s="8" t="n">
        <v>0</v>
      </c>
      <c r="J22" s="9">
        <f>H22+I22</f>
        <v/>
      </c>
      <c r="K22" s="8" t="n">
        <v>270</v>
      </c>
      <c r="L22" s="10">
        <f>K22-J22</f>
        <v/>
      </c>
      <c r="M22" s="10">
        <f>IF(K22&gt;0, J22/K22*100, "")</f>
        <v/>
      </c>
      <c r="N22" s="11" t="inlineStr">
        <is>
          <t>جملة: 200.0 ج</t>
        </is>
      </c>
    </row>
    <row r="23">
      <c r="A23" s="4" t="n">
        <v>20</v>
      </c>
      <c r="B23" s="5" t="inlineStr">
        <is>
          <t>تاج نيم مكتب خشب ذهبي</t>
        </is>
      </c>
      <c r="C23" s="6" t="inlineStr">
        <is>
          <t>خشب/ديكور</t>
        </is>
      </c>
      <c r="D23" s="7" t="inlineStr">
        <is>
          <t>wood</t>
        </is>
      </c>
      <c r="E23" s="7" t="inlineStr">
        <is>
          <t>laser</t>
        </is>
      </c>
      <c r="F23" s="7" t="inlineStr">
        <is>
          <t>مستمر</t>
        </is>
      </c>
      <c r="G23" s="7" t="inlineStr">
        <is>
          <t>مستمر</t>
        </is>
      </c>
      <c r="H23" s="8" t="n">
        <v>0</v>
      </c>
      <c r="I23" s="8" t="n">
        <v>0</v>
      </c>
      <c r="J23" s="9">
        <f>H23+I23</f>
        <v/>
      </c>
      <c r="K23" s="8" t="n">
        <v>75</v>
      </c>
      <c r="L23" s="10">
        <f>K23-J23</f>
        <v/>
      </c>
      <c r="M23" s="10">
        <f>IF(K23&gt;0, J23/K23*100, "")</f>
        <v/>
      </c>
      <c r="N23" s="11" t="inlineStr">
        <is>
          <t>جملة: 270.0 ج</t>
        </is>
      </c>
    </row>
    <row r="24">
      <c r="A24" s="4" t="n">
        <v>21</v>
      </c>
      <c r="B24" s="5" t="inlineStr">
        <is>
          <t>بوكس خشب</t>
        </is>
      </c>
      <c r="C24" s="6" t="inlineStr">
        <is>
          <t>بوكسات/خشب</t>
        </is>
      </c>
      <c r="D24" s="7" t="inlineStr">
        <is>
          <t>wood</t>
        </is>
      </c>
      <c r="E24" s="7" t="inlineStr">
        <is>
          <t>laser</t>
        </is>
      </c>
      <c r="F24" s="7" t="inlineStr">
        <is>
          <t>مستمر</t>
        </is>
      </c>
      <c r="G24" s="7" t="inlineStr">
        <is>
          <t>مستمر</t>
        </is>
      </c>
      <c r="H24" s="8" t="n">
        <v>0</v>
      </c>
      <c r="I24" s="8" t="n">
        <v>0</v>
      </c>
      <c r="J24" s="9">
        <f>H24+I24</f>
        <v/>
      </c>
      <c r="K24" s="8" t="n">
        <v>30</v>
      </c>
      <c r="L24" s="10">
        <f>K24-J24</f>
        <v/>
      </c>
      <c r="M24" s="10">
        <f>IF(K24&gt;0, J24/K24*100, "")</f>
        <v/>
      </c>
      <c r="N24" s="11" t="inlineStr">
        <is>
          <t>جملة: 150.0 ج؛ خامة:mdf_3mm_122x244؛ 20.0×30.0سم؛ هالك 15.0%؛ أبعاد افتراضية 20×30 سم للتشغيل التجريبي — عدّلها بأمر المالك</t>
        </is>
      </c>
    </row>
    <row r="25">
      <c r="A25" s="4" t="n">
        <v>22</v>
      </c>
      <c r="B25" s="5" t="inlineStr">
        <is>
          <t>بوكس أكريليك</t>
        </is>
      </c>
      <c r="C25" s="6" t="inlineStr">
        <is>
          <t>بوكسات/أكريليك</t>
        </is>
      </c>
      <c r="D25" s="7" t="inlineStr">
        <is>
          <t>needs_review</t>
        </is>
      </c>
      <c r="E25" s="7" t="inlineStr">
        <is>
          <t>needs_review</t>
        </is>
      </c>
      <c r="F25" s="7" t="inlineStr"/>
      <c r="G25" s="7" t="n">
        <v>-5</v>
      </c>
      <c r="H25" s="8" t="n">
        <v>0</v>
      </c>
      <c r="I25" s="8" t="n">
        <v>0</v>
      </c>
      <c r="J25" s="9">
        <f>H25+I25</f>
        <v/>
      </c>
      <c r="K25" s="8" t="n">
        <v>60</v>
      </c>
      <c r="L25" s="10">
        <f>K25-J25</f>
        <v/>
      </c>
      <c r="M25" s="10">
        <f>IF(K25&gt;0, J25/K25*100, "")</f>
        <v/>
      </c>
      <c r="N25" s="11" t="inlineStr"/>
    </row>
    <row r="26">
      <c r="A26" s="4" t="n">
        <v>23</v>
      </c>
      <c r="B26" s="5" t="inlineStr">
        <is>
          <t>قطعة أكريليك</t>
        </is>
      </c>
      <c r="C26" s="6" t="inlineStr">
        <is>
          <t>خامات</t>
        </is>
      </c>
      <c r="D26" s="7" t="inlineStr">
        <is>
          <t>acrylic</t>
        </is>
      </c>
      <c r="E26" s="7" t="inlineStr">
        <is>
          <t>laser</t>
        </is>
      </c>
      <c r="F26" s="7" t="inlineStr">
        <is>
          <t>مستمر</t>
        </is>
      </c>
      <c r="G26" s="7" t="inlineStr">
        <is>
          <t>مستمر</t>
        </is>
      </c>
      <c r="H26" s="8" t="n">
        <v>0</v>
      </c>
      <c r="I26" s="8" t="n">
        <v>0</v>
      </c>
      <c r="J26" s="9">
        <f>H26+I26</f>
        <v/>
      </c>
      <c r="K26" s="8" t="n">
        <v>60</v>
      </c>
      <c r="L26" s="10">
        <f>K26-J26</f>
        <v/>
      </c>
      <c r="M26" s="10">
        <f>IF(K26&gt;0, J26/K26*100, "")</f>
        <v/>
      </c>
      <c r="N26" s="11" t="inlineStr"/>
    </row>
    <row r="27">
      <c r="A27" s="4" t="n">
        <v>24</v>
      </c>
      <c r="B27" s="5" t="inlineStr">
        <is>
          <t>دلاية سبحة</t>
        </is>
      </c>
      <c r="C27" s="6" t="inlineStr">
        <is>
          <t>اكسسوارات</t>
        </is>
      </c>
      <c r="D27" s="7" t="inlineStr">
        <is>
          <t>unknown</t>
        </is>
      </c>
      <c r="E27" s="7" t="inlineStr">
        <is>
          <t>unknown</t>
        </is>
      </c>
      <c r="F27" s="7" t="inlineStr"/>
      <c r="G27" s="7" t="n">
        <v>0</v>
      </c>
      <c r="H27" s="8" t="n">
        <v>0</v>
      </c>
      <c r="I27" s="8" t="n">
        <v>0</v>
      </c>
      <c r="J27" s="9">
        <f>H27+I27</f>
        <v/>
      </c>
      <c r="K27" s="8" t="n">
        <v>2</v>
      </c>
      <c r="L27" s="10">
        <f>K27-J27</f>
        <v/>
      </c>
      <c r="M27" s="10">
        <f>IF(K27&gt;0, J27/K27*100, "")</f>
        <v/>
      </c>
      <c r="N27" s="11" t="inlineStr"/>
    </row>
    <row r="28">
      <c r="A28" s="4" t="n">
        <v>25</v>
      </c>
      <c r="B28" s="5" t="inlineStr">
        <is>
          <t>طباعة 30×40 (طباعة فقط)</t>
        </is>
      </c>
      <c r="C28" s="6" t="inlineStr">
        <is>
          <t>طباعة</t>
        </is>
      </c>
      <c r="D28" s="7" t="inlineStr">
        <is>
          <t>unknown</t>
        </is>
      </c>
      <c r="E28" s="7" t="inlineStr">
        <is>
          <t>unknown</t>
        </is>
      </c>
      <c r="F28" s="7" t="inlineStr"/>
      <c r="G28" s="7" t="n">
        <v>-2</v>
      </c>
      <c r="H28" s="8" t="n">
        <v>0</v>
      </c>
      <c r="I28" s="8" t="n">
        <v>0</v>
      </c>
      <c r="J28" s="9">
        <f>H28+I28</f>
        <v/>
      </c>
      <c r="K28" s="8" t="n">
        <v>40</v>
      </c>
      <c r="L28" s="10">
        <f>K28-J28</f>
        <v/>
      </c>
      <c r="M28" s="10">
        <f>IF(K28&gt;0, J28/K28*100, "")</f>
        <v/>
      </c>
      <c r="N28" s="11" t="inlineStr">
        <is>
          <t>جملة: 45.0 ج</t>
        </is>
      </c>
    </row>
    <row r="29">
      <c r="A29" s="4" t="n">
        <v>26</v>
      </c>
      <c r="B29" s="5" t="inlineStr">
        <is>
          <t>أسماء خشب (للقطعة)</t>
        </is>
      </c>
      <c r="C29" s="6" t="inlineStr">
        <is>
          <t>خشب/أسماء</t>
        </is>
      </c>
      <c r="D29" s="7" t="inlineStr">
        <is>
          <t>wood</t>
        </is>
      </c>
      <c r="E29" s="7" t="inlineStr">
        <is>
          <t>laser</t>
        </is>
      </c>
      <c r="F29" s="7" t="inlineStr">
        <is>
          <t>مستمر</t>
        </is>
      </c>
      <c r="G29" s="7" t="inlineStr">
        <is>
          <t>مستمر</t>
        </is>
      </c>
      <c r="H29" s="8" t="n">
        <v>0</v>
      </c>
      <c r="I29" s="8" t="n">
        <v>0</v>
      </c>
      <c r="J29" s="9">
        <f>H29+I29</f>
        <v/>
      </c>
      <c r="K29" s="8" t="n">
        <v>25</v>
      </c>
      <c r="L29" s="10">
        <f>K29-J29</f>
        <v/>
      </c>
      <c r="M29" s="10">
        <f>IF(K29&gt;0, J29/K29*100, "")</f>
        <v/>
      </c>
      <c r="N29" s="11" t="inlineStr">
        <is>
          <t>جملة: 10.0 ج</t>
        </is>
      </c>
    </row>
    <row r="30">
      <c r="A30" s="4" t="n">
        <v>27</v>
      </c>
      <c r="B30" s="5" t="inlineStr">
        <is>
          <t>يد هواية فضي</t>
        </is>
      </c>
      <c r="C30" s="6" t="inlineStr">
        <is>
          <t>اكسسوارات</t>
        </is>
      </c>
      <c r="D30" s="7" t="inlineStr">
        <is>
          <t>unknown</t>
        </is>
      </c>
      <c r="E30" s="7" t="inlineStr">
        <is>
          <t>unknown</t>
        </is>
      </c>
      <c r="F30" s="7" t="inlineStr"/>
      <c r="G30" s="7" t="n">
        <v>-1</v>
      </c>
      <c r="H30" s="8" t="n">
        <v>0</v>
      </c>
      <c r="I30" s="8" t="n">
        <v>0</v>
      </c>
      <c r="J30" s="9">
        <f>H30+I30</f>
        <v/>
      </c>
      <c r="K30" s="8" t="n">
        <v>70</v>
      </c>
      <c r="L30" s="10">
        <f>K30-J30</f>
        <v/>
      </c>
      <c r="M30" s="10">
        <f>IF(K30&gt;0, J30/K30*100, "")</f>
        <v/>
      </c>
      <c r="N30" s="11" t="inlineStr">
        <is>
          <t>جملة: 60.0 ج</t>
        </is>
      </c>
    </row>
    <row r="31">
      <c r="A31" s="4" t="n">
        <v>28</v>
      </c>
      <c r="B31" s="5" t="inlineStr">
        <is>
          <t>بروش</t>
        </is>
      </c>
      <c r="C31" s="6" t="inlineStr">
        <is>
          <t>اكسسوارات</t>
        </is>
      </c>
      <c r="D31" s="7" t="inlineStr">
        <is>
          <t>unknown</t>
        </is>
      </c>
      <c r="E31" s="7" t="inlineStr">
        <is>
          <t>unknown</t>
        </is>
      </c>
      <c r="F31" s="7" t="inlineStr"/>
      <c r="G31" s="7" t="n">
        <v>-2</v>
      </c>
      <c r="H31" s="8" t="n">
        <v>0</v>
      </c>
      <c r="I31" s="8" t="n">
        <v>0</v>
      </c>
      <c r="J31" s="9">
        <f>H31+I31</f>
        <v/>
      </c>
      <c r="K31" s="8" t="n">
        <v>50</v>
      </c>
      <c r="L31" s="10">
        <f>K31-J31</f>
        <v/>
      </c>
      <c r="M31" s="10">
        <f>IF(K31&gt;0, J31/K31*100, "")</f>
        <v/>
      </c>
      <c r="N31" s="11" t="inlineStr">
        <is>
          <t>جملة: 45.0 ج</t>
        </is>
      </c>
    </row>
    <row r="32">
      <c r="A32" s="4" t="n">
        <v>29</v>
      </c>
      <c r="B32" s="5" t="inlineStr">
        <is>
          <t>صينية سحابة</t>
        </is>
      </c>
      <c r="C32" s="6" t="inlineStr">
        <is>
          <t>ديكور/صواني</t>
        </is>
      </c>
      <c r="D32" s="7" t="inlineStr">
        <is>
          <t>wood</t>
        </is>
      </c>
      <c r="E32" s="7" t="inlineStr">
        <is>
          <t>laser</t>
        </is>
      </c>
      <c r="F32" s="7" t="inlineStr">
        <is>
          <t>مستمر</t>
        </is>
      </c>
      <c r="G32" s="7" t="inlineStr">
        <is>
          <t>مستمر</t>
        </is>
      </c>
      <c r="H32" s="8" t="n">
        <v>0</v>
      </c>
      <c r="I32" s="8" t="n">
        <v>0</v>
      </c>
      <c r="J32" s="9">
        <f>H32+I32</f>
        <v/>
      </c>
      <c r="K32" s="8" t="n">
        <v>370</v>
      </c>
      <c r="L32" s="10">
        <f>K32-J32</f>
        <v/>
      </c>
      <c r="M32" s="10">
        <f>IF(K32&gt;0, J32/K32*100, "")</f>
        <v/>
      </c>
      <c r="N32" s="11" t="inlineStr">
        <is>
          <t>جملة: 207.0 ج</t>
        </is>
      </c>
    </row>
    <row r="33">
      <c r="A33" s="4" t="n">
        <v>31</v>
      </c>
      <c r="B33" s="5" t="inlineStr">
        <is>
          <t>برواز 20×30</t>
        </is>
      </c>
      <c r="C33" s="6" t="inlineStr">
        <is>
          <t>تابلوهات</t>
        </is>
      </c>
      <c r="D33" s="7" t="inlineStr">
        <is>
          <t>composite</t>
        </is>
      </c>
      <c r="E33" s="7" t="inlineStr">
        <is>
          <t>framing</t>
        </is>
      </c>
      <c r="F33" s="7" t="inlineStr">
        <is>
          <t>رصيد بالعدد</t>
        </is>
      </c>
      <c r="G33" s="7" t="n">
        <v>-5</v>
      </c>
      <c r="H33" s="8" t="n">
        <v>0</v>
      </c>
      <c r="I33" s="8" t="n">
        <v>0</v>
      </c>
      <c r="J33" s="9">
        <f>H33+I33</f>
        <v/>
      </c>
      <c r="K33" s="8" t="n">
        <v>90</v>
      </c>
      <c r="L33" s="10">
        <f>K33-J33</f>
        <v/>
      </c>
      <c r="M33" s="10">
        <f>IF(K33&gt;0, J33/K33*100, "")</f>
        <v/>
      </c>
      <c r="N33" s="11" t="inlineStr">
        <is>
          <t>جملة: 40.0 ج</t>
        </is>
      </c>
    </row>
    <row r="34">
      <c r="A34" s="4" t="n">
        <v>32</v>
      </c>
      <c r="B34" s="5" t="inlineStr">
        <is>
          <t>برواز 30×40</t>
        </is>
      </c>
      <c r="C34" s="6" t="inlineStr">
        <is>
          <t>تابلوهات</t>
        </is>
      </c>
      <c r="D34" s="7" t="inlineStr">
        <is>
          <t>composite</t>
        </is>
      </c>
      <c r="E34" s="7" t="inlineStr">
        <is>
          <t>framing</t>
        </is>
      </c>
      <c r="F34" s="7" t="inlineStr">
        <is>
          <t>رصيد بالعدد</t>
        </is>
      </c>
      <c r="G34" s="7" t="n">
        <v>3</v>
      </c>
      <c r="H34" s="8" t="n">
        <v>0</v>
      </c>
      <c r="I34" s="8" t="n">
        <v>0</v>
      </c>
      <c r="J34" s="9">
        <f>H34+I34</f>
        <v/>
      </c>
      <c r="K34" s="8" t="n">
        <v>120</v>
      </c>
      <c r="L34" s="10">
        <f>K34-J34</f>
        <v/>
      </c>
      <c r="M34" s="10">
        <f>IF(K34&gt;0, J34/K34*100, "")</f>
        <v/>
      </c>
      <c r="N34" s="11" t="inlineStr">
        <is>
          <t>جملة: 100.0 ج</t>
        </is>
      </c>
    </row>
    <row r="35">
      <c r="A35" s="4" t="n">
        <v>33</v>
      </c>
      <c r="B35" s="5" t="inlineStr">
        <is>
          <t>أكريليك أبيض</t>
        </is>
      </c>
      <c r="C35" s="6" t="inlineStr">
        <is>
          <t>خامات</t>
        </is>
      </c>
      <c r="D35" s="7" t="inlineStr">
        <is>
          <t>acrylic</t>
        </is>
      </c>
      <c r="E35" s="7" t="inlineStr">
        <is>
          <t>laser</t>
        </is>
      </c>
      <c r="F35" s="7" t="inlineStr">
        <is>
          <t>مستمر</t>
        </is>
      </c>
      <c r="G35" s="7" t="inlineStr">
        <is>
          <t>مستمر</t>
        </is>
      </c>
      <c r="H35" s="8" t="n">
        <v>0</v>
      </c>
      <c r="I35" s="8" t="n">
        <v>0</v>
      </c>
      <c r="J35" s="9">
        <f>H35+I35</f>
        <v/>
      </c>
      <c r="K35" s="8" t="n">
        <v>100</v>
      </c>
      <c r="L35" s="10">
        <f>K35-J35</f>
        <v/>
      </c>
      <c r="M35" s="10">
        <f>IF(K35&gt;0, J35/K35*100, "")</f>
        <v/>
      </c>
      <c r="N35" s="11" t="inlineStr">
        <is>
          <t>جملة: 40.0 ج</t>
        </is>
      </c>
    </row>
    <row r="36">
      <c r="A36" s="4" t="n">
        <v>34</v>
      </c>
      <c r="B36" s="5" t="inlineStr">
        <is>
          <t>تابلو 10x15</t>
        </is>
      </c>
      <c r="C36" s="6" t="inlineStr">
        <is>
          <t>تابلوهات</t>
        </is>
      </c>
      <c r="D36" s="7" t="inlineStr">
        <is>
          <t>composite</t>
        </is>
      </c>
      <c r="E36" s="7" t="inlineStr">
        <is>
          <t>framing</t>
        </is>
      </c>
      <c r="F36" s="7" t="inlineStr">
        <is>
          <t>رصيد بالعدد</t>
        </is>
      </c>
      <c r="G36" s="7" t="n">
        <v>-1</v>
      </c>
      <c r="H36" s="8" t="n">
        <v>0</v>
      </c>
      <c r="I36" s="8" t="n">
        <v>0</v>
      </c>
      <c r="J36" s="9">
        <f>H36+I36</f>
        <v/>
      </c>
      <c r="K36" s="8" t="n">
        <v>40</v>
      </c>
      <c r="L36" s="10">
        <f>K36-J36</f>
        <v/>
      </c>
      <c r="M36" s="10">
        <f>IF(K36&gt;0, J36/K36*100, "")</f>
        <v/>
      </c>
      <c r="N36" s="11" t="inlineStr">
        <is>
          <t>جملة: 30.0 ج</t>
        </is>
      </c>
    </row>
    <row r="37">
      <c r="A37" s="4" t="n">
        <v>35</v>
      </c>
      <c r="B37" s="5" t="inlineStr">
        <is>
          <t>تابلو 15x21</t>
        </is>
      </c>
      <c r="C37" s="6" t="inlineStr">
        <is>
          <t>تابلوهات</t>
        </is>
      </c>
      <c r="D37" s="7" t="inlineStr">
        <is>
          <t>composite</t>
        </is>
      </c>
      <c r="E37" s="7" t="inlineStr">
        <is>
          <t>framing</t>
        </is>
      </c>
      <c r="F37" s="7" t="inlineStr">
        <is>
          <t>رصيد بالعدد</t>
        </is>
      </c>
      <c r="G37" s="7" t="n">
        <v>-1</v>
      </c>
      <c r="H37" s="8" t="n">
        <v>0</v>
      </c>
      <c r="I37" s="8" t="n">
        <v>0</v>
      </c>
      <c r="J37" s="9">
        <f>H37+I37</f>
        <v/>
      </c>
      <c r="K37" s="8" t="n">
        <v>40</v>
      </c>
      <c r="L37" s="10">
        <f>K37-J37</f>
        <v/>
      </c>
      <c r="M37" s="10">
        <f>IF(K37&gt;0, J37/K37*100, "")</f>
        <v/>
      </c>
      <c r="N37" s="11" t="inlineStr">
        <is>
          <t>جملة: 20.0 ج</t>
        </is>
      </c>
    </row>
    <row r="38">
      <c r="A38" s="4" t="n">
        <v>36</v>
      </c>
      <c r="B38" s="5" t="inlineStr">
        <is>
          <t>تابلو 20x30</t>
        </is>
      </c>
      <c r="C38" s="6" t="inlineStr">
        <is>
          <t>تابلوهات</t>
        </is>
      </c>
      <c r="D38" s="7" t="inlineStr">
        <is>
          <t>composite</t>
        </is>
      </c>
      <c r="E38" s="7" t="inlineStr">
        <is>
          <t>framing</t>
        </is>
      </c>
      <c r="F38" s="7" t="inlineStr">
        <is>
          <t>رصيد بالعدد</t>
        </is>
      </c>
      <c r="G38" s="7" t="n">
        <v>-5</v>
      </c>
      <c r="H38" s="8" t="n">
        <v>0</v>
      </c>
      <c r="I38" s="8" t="n">
        <v>0</v>
      </c>
      <c r="J38" s="9">
        <f>H38+I38</f>
        <v/>
      </c>
      <c r="K38" s="8" t="n">
        <v>65</v>
      </c>
      <c r="L38" s="10">
        <f>K38-J38</f>
        <v/>
      </c>
      <c r="M38" s="10">
        <f>IF(K38&gt;0, J38/K38*100, "")</f>
        <v/>
      </c>
      <c r="N38" s="11" t="inlineStr"/>
    </row>
    <row r="39">
      <c r="A39" s="4" t="n">
        <v>38</v>
      </c>
      <c r="B39" s="5" t="inlineStr">
        <is>
          <t>تابلو 40x50</t>
        </is>
      </c>
      <c r="C39" s="6" t="inlineStr">
        <is>
          <t>تابلوهات</t>
        </is>
      </c>
      <c r="D39" s="7" t="inlineStr">
        <is>
          <t>composite</t>
        </is>
      </c>
      <c r="E39" s="7" t="inlineStr">
        <is>
          <t>framing</t>
        </is>
      </c>
      <c r="F39" s="7" t="inlineStr">
        <is>
          <t>رصيد بالعدد</t>
        </is>
      </c>
      <c r="G39" s="7" t="n">
        <v>-4</v>
      </c>
      <c r="H39" s="8" t="n">
        <v>0</v>
      </c>
      <c r="I39" s="8" t="n">
        <v>0</v>
      </c>
      <c r="J39" s="9">
        <f>H39+I39</f>
        <v/>
      </c>
      <c r="K39" s="8" t="n">
        <v>190</v>
      </c>
      <c r="L39" s="10">
        <f>K39-J39</f>
        <v/>
      </c>
      <c r="M39" s="10">
        <f>IF(K39&gt;0, J39/K39*100, "")</f>
        <v/>
      </c>
      <c r="N39" s="11" t="inlineStr">
        <is>
          <t>جملة: 160.0 ج</t>
        </is>
      </c>
    </row>
    <row r="40">
      <c r="A40" s="4" t="n">
        <v>39</v>
      </c>
      <c r="B40" s="5" t="inlineStr">
        <is>
          <t>تابلو 60x50</t>
        </is>
      </c>
      <c r="C40" s="6" t="inlineStr">
        <is>
          <t>تابلوهات</t>
        </is>
      </c>
      <c r="D40" s="7" t="inlineStr">
        <is>
          <t>composite</t>
        </is>
      </c>
      <c r="E40" s="7" t="inlineStr">
        <is>
          <t>framing</t>
        </is>
      </c>
      <c r="F40" s="7" t="inlineStr">
        <is>
          <t>رصيد بالعدد</t>
        </is>
      </c>
      <c r="G40" s="7" t="n">
        <v>-3</v>
      </c>
      <c r="H40" s="8" t="n">
        <v>0</v>
      </c>
      <c r="I40" s="8" t="n">
        <v>0</v>
      </c>
      <c r="J40" s="9">
        <f>H40+I40</f>
        <v/>
      </c>
      <c r="K40" s="8" t="n">
        <v>270</v>
      </c>
      <c r="L40" s="10">
        <f>K40-J40</f>
        <v/>
      </c>
      <c r="M40" s="10">
        <f>IF(K40&gt;0, J40/K40*100, "")</f>
        <v/>
      </c>
      <c r="N40" s="11" t="inlineStr">
        <is>
          <t>جملة: 230.0 ج</t>
        </is>
      </c>
    </row>
    <row r="41">
      <c r="A41" s="4" t="n">
        <v>40</v>
      </c>
      <c r="B41" s="5" t="inlineStr">
        <is>
          <t>تابلو 60x70</t>
        </is>
      </c>
      <c r="C41" s="6" t="inlineStr">
        <is>
          <t>تابلوهات</t>
        </is>
      </c>
      <c r="D41" s="7" t="inlineStr">
        <is>
          <t>composite</t>
        </is>
      </c>
      <c r="E41" s="7" t="inlineStr">
        <is>
          <t>framing</t>
        </is>
      </c>
      <c r="F41" s="7" t="inlineStr">
        <is>
          <t>رصيد بالعدد</t>
        </is>
      </c>
      <c r="G41" s="7" t="n">
        <v>-1</v>
      </c>
      <c r="H41" s="8" t="n">
        <v>0</v>
      </c>
      <c r="I41" s="8" t="n">
        <v>0</v>
      </c>
      <c r="J41" s="9">
        <f>H41+I41</f>
        <v/>
      </c>
      <c r="K41" s="8" t="n">
        <v>360</v>
      </c>
      <c r="L41" s="10">
        <f>K41-J41</f>
        <v/>
      </c>
      <c r="M41" s="10">
        <f>IF(K41&gt;0, J41/K41*100, "")</f>
        <v/>
      </c>
      <c r="N41" s="11" t="inlineStr">
        <is>
          <t>جملة: 300.0 ج</t>
        </is>
      </c>
    </row>
    <row r="42">
      <c r="A42" s="4" t="n">
        <v>43</v>
      </c>
      <c r="B42" s="5" t="inlineStr">
        <is>
          <t xml:space="preserve">مادليه وش واحد </t>
        </is>
      </c>
      <c r="C42" s="6" t="inlineStr">
        <is>
          <t>جديد</t>
        </is>
      </c>
      <c r="D42" s="7" t="inlineStr">
        <is>
          <t>wood</t>
        </is>
      </c>
      <c r="E42" s="7" t="inlineStr">
        <is>
          <t>laser</t>
        </is>
      </c>
      <c r="F42" s="7" t="inlineStr">
        <is>
          <t>مستمر</t>
        </is>
      </c>
      <c r="G42" s="7" t="inlineStr">
        <is>
          <t>مستمر</t>
        </is>
      </c>
      <c r="H42" s="8" t="n">
        <v>0</v>
      </c>
      <c r="I42" s="8" t="n">
        <v>0</v>
      </c>
      <c r="J42" s="9">
        <f>H42+I42</f>
        <v/>
      </c>
      <c r="K42" s="8" t="n">
        <v>50</v>
      </c>
      <c r="L42" s="10">
        <f>K42-J42</f>
        <v/>
      </c>
      <c r="M42" s="10">
        <f>IF(K42&gt;0, J42/K42*100, "")</f>
        <v/>
      </c>
      <c r="N42" s="11" t="inlineStr"/>
    </row>
    <row r="43">
      <c r="A43" s="4" t="n">
        <v>46</v>
      </c>
      <c r="B43" s="5" t="inlineStr">
        <is>
          <t>انسيال عيون</t>
        </is>
      </c>
      <c r="C43" s="6" t="inlineStr">
        <is>
          <t>اكسسوارات</t>
        </is>
      </c>
      <c r="D43" s="7" t="inlineStr">
        <is>
          <t>unknown</t>
        </is>
      </c>
      <c r="E43" s="7" t="inlineStr">
        <is>
          <t>unknown</t>
        </is>
      </c>
      <c r="F43" s="7" t="inlineStr"/>
      <c r="G43" s="7" t="n">
        <v>4</v>
      </c>
      <c r="H43" s="8" t="n">
        <v>0</v>
      </c>
      <c r="I43" s="8" t="n">
        <v>0</v>
      </c>
      <c r="J43" s="9">
        <f>H43+I43</f>
        <v/>
      </c>
      <c r="K43" s="8" t="n">
        <v>80</v>
      </c>
      <c r="L43" s="10">
        <f>K43-J43</f>
        <v/>
      </c>
      <c r="M43" s="10">
        <f>IF(K43&gt;0, J43/K43*100, "")</f>
        <v/>
      </c>
      <c r="N43" s="11" t="inlineStr"/>
    </row>
    <row r="44">
      <c r="A44" s="4" t="n">
        <v>48</v>
      </c>
      <c r="B44" s="5" t="inlineStr">
        <is>
          <t>ساعه 30x40</t>
        </is>
      </c>
      <c r="C44" s="6" t="inlineStr">
        <is>
          <t>اكسسوارات</t>
        </is>
      </c>
      <c r="D44" s="7" t="inlineStr">
        <is>
          <t>unknown</t>
        </is>
      </c>
      <c r="E44" s="7" t="inlineStr">
        <is>
          <t>unknown</t>
        </is>
      </c>
      <c r="F44" s="7" t="inlineStr"/>
      <c r="G44" s="7" t="n">
        <v>-2</v>
      </c>
      <c r="H44" s="8" t="n">
        <v>0</v>
      </c>
      <c r="I44" s="8" t="n">
        <v>0</v>
      </c>
      <c r="J44" s="9">
        <f>H44+I44</f>
        <v/>
      </c>
      <c r="K44" s="8" t="n">
        <v>160</v>
      </c>
      <c r="L44" s="10">
        <f>K44-J44</f>
        <v/>
      </c>
      <c r="M44" s="10">
        <f>IF(K44&gt;0, J44/K44*100, "")</f>
        <v/>
      </c>
      <c r="N44" s="11" t="inlineStr"/>
    </row>
    <row r="45">
      <c r="A45" s="4" t="n">
        <v>49</v>
      </c>
      <c r="B45" s="5" t="inlineStr">
        <is>
          <t xml:space="preserve">قلم بالبوكس </t>
        </is>
      </c>
      <c r="C45" s="6" t="inlineStr">
        <is>
          <t>جديد</t>
        </is>
      </c>
      <c r="D45" s="7" t="inlineStr">
        <is>
          <t>needs_review</t>
        </is>
      </c>
      <c r="E45" s="7" t="inlineStr">
        <is>
          <t>needs_review</t>
        </is>
      </c>
      <c r="F45" s="7" t="inlineStr"/>
      <c r="G45" s="7" t="n">
        <v>-5</v>
      </c>
      <c r="H45" s="8" t="n">
        <v>0</v>
      </c>
      <c r="I45" s="8" t="n">
        <v>0</v>
      </c>
      <c r="J45" s="9">
        <f>H45+I45</f>
        <v/>
      </c>
      <c r="K45" s="8" t="n">
        <v>100</v>
      </c>
      <c r="L45" s="10">
        <f>K45-J45</f>
        <v/>
      </c>
      <c r="M45" s="10">
        <f>IF(K45&gt;0, J45/K45*100, "")</f>
        <v/>
      </c>
      <c r="N45" s="11" t="inlineStr"/>
    </row>
    <row r="46">
      <c r="A46" s="4" t="n">
        <v>50</v>
      </c>
      <c r="B46" s="5" t="inlineStr">
        <is>
          <t>طباعه شريط ستان</t>
        </is>
      </c>
      <c r="C46" s="6" t="inlineStr">
        <is>
          <t>جديد</t>
        </is>
      </c>
      <c r="D46" s="7" t="inlineStr">
        <is>
          <t>unknown</t>
        </is>
      </c>
      <c r="E46" s="7" t="inlineStr">
        <is>
          <t>unknown</t>
        </is>
      </c>
      <c r="F46" s="7" t="inlineStr"/>
      <c r="G46" s="7" t="n">
        <v>-3</v>
      </c>
      <c r="H46" s="8" t="n">
        <v>0</v>
      </c>
      <c r="I46" s="8" t="n">
        <v>0</v>
      </c>
      <c r="J46" s="9">
        <f>H46+I46</f>
        <v/>
      </c>
      <c r="K46" s="8" t="n">
        <v>10</v>
      </c>
      <c r="L46" s="10">
        <f>K46-J46</f>
        <v/>
      </c>
      <c r="M46" s="10">
        <f>IF(K46&gt;0, J46/K46*100, "")</f>
        <v/>
      </c>
      <c r="N46" s="11" t="inlineStr"/>
    </row>
    <row r="47">
      <c r="A47" s="4" t="n">
        <v>51</v>
      </c>
      <c r="B47" s="5" t="inlineStr">
        <is>
          <t>بوكس (( مج ديجيتال + محفظه +نوت ))</t>
        </is>
      </c>
      <c r="C47" s="6" t="inlineStr">
        <is>
          <t>اكسسوارات</t>
        </is>
      </c>
      <c r="D47" s="7" t="inlineStr">
        <is>
          <t>needs_review</t>
        </is>
      </c>
      <c r="E47" s="7" t="inlineStr">
        <is>
          <t>needs_review</t>
        </is>
      </c>
      <c r="F47" s="7" t="inlineStr"/>
      <c r="G47" s="7" t="n">
        <v>-2</v>
      </c>
      <c r="H47" s="8" t="n">
        <v>0</v>
      </c>
      <c r="I47" s="8" t="n">
        <v>0</v>
      </c>
      <c r="J47" s="9">
        <f>H47+I47</f>
        <v/>
      </c>
      <c r="K47" s="8" t="n">
        <v>330</v>
      </c>
      <c r="L47" s="10">
        <f>K47-J47</f>
        <v/>
      </c>
      <c r="M47" s="10">
        <f>IF(K47&gt;0, J47/K47*100, "")</f>
        <v/>
      </c>
      <c r="N47" s="11" t="inlineStr">
        <is>
          <t>جملة: 260.0 ج (approved: Fares — composite box: sum of components - 5% bundle discount)</t>
        </is>
      </c>
    </row>
    <row r="48">
      <c r="A48" s="4" t="n">
        <v>52</v>
      </c>
      <c r="B48" s="5" t="inlineStr">
        <is>
          <t xml:space="preserve">طقم مكتب </t>
        </is>
      </c>
      <c r="C48" s="6" t="inlineStr">
        <is>
          <t>جديد</t>
        </is>
      </c>
      <c r="D48" s="7" t="inlineStr">
        <is>
          <t>wood</t>
        </is>
      </c>
      <c r="E48" s="7" t="inlineStr">
        <is>
          <t>laser</t>
        </is>
      </c>
      <c r="F48" s="7" t="inlineStr">
        <is>
          <t>مستمر</t>
        </is>
      </c>
      <c r="G48" s="7" t="inlineStr">
        <is>
          <t>مستمر</t>
        </is>
      </c>
      <c r="H48" s="8" t="n">
        <v>0</v>
      </c>
      <c r="I48" s="8" t="n">
        <v>0</v>
      </c>
      <c r="J48" s="9">
        <f>H48+I48</f>
        <v/>
      </c>
      <c r="K48" s="8" t="n">
        <v>450</v>
      </c>
      <c r="L48" s="10">
        <f>K48-J48</f>
        <v/>
      </c>
      <c r="M48" s="10">
        <f>IF(K48&gt;0, J48/K48*100, "")</f>
        <v/>
      </c>
      <c r="N48" s="11" t="inlineStr">
        <is>
          <t>جملة: 350.0 ج</t>
        </is>
      </c>
    </row>
    <row r="49">
      <c r="A49" s="4" t="n">
        <v>53</v>
      </c>
      <c r="B49" s="5" t="inlineStr">
        <is>
          <t>فانوس هلال</t>
        </is>
      </c>
      <c r="C49" s="6" t="inlineStr">
        <is>
          <t>رمضان</t>
        </is>
      </c>
      <c r="D49" s="7" t="inlineStr">
        <is>
          <t>wood</t>
        </is>
      </c>
      <c r="E49" s="7" t="inlineStr">
        <is>
          <t>laser</t>
        </is>
      </c>
      <c r="F49" s="7" t="inlineStr">
        <is>
          <t>مستمر</t>
        </is>
      </c>
      <c r="G49" s="7" t="inlineStr">
        <is>
          <t>مستمر</t>
        </is>
      </c>
      <c r="H49" s="8" t="n">
        <v>0</v>
      </c>
      <c r="I49" s="8" t="n">
        <v>0</v>
      </c>
      <c r="J49" s="9">
        <f>H49+I49</f>
        <v/>
      </c>
      <c r="K49" s="8" t="n">
        <v>270</v>
      </c>
      <c r="L49" s="10">
        <f>K49-J49</f>
        <v/>
      </c>
      <c r="M49" s="10">
        <f>IF(K49&gt;0, J49/K49*100, "")</f>
        <v/>
      </c>
      <c r="N49" s="11" t="inlineStr"/>
    </row>
    <row r="50">
      <c r="A50" s="4" t="n">
        <v>54</v>
      </c>
      <c r="B50" s="5" t="inlineStr">
        <is>
          <t xml:space="preserve">فانوس رباعي وسط </t>
        </is>
      </c>
      <c r="C50" s="6" t="inlineStr">
        <is>
          <t>رمضان</t>
        </is>
      </c>
      <c r="D50" s="7" t="inlineStr">
        <is>
          <t>wood</t>
        </is>
      </c>
      <c r="E50" s="7" t="inlineStr">
        <is>
          <t>laser</t>
        </is>
      </c>
      <c r="F50" s="7" t="inlineStr">
        <is>
          <t>مستمر</t>
        </is>
      </c>
      <c r="G50" s="7" t="inlineStr">
        <is>
          <t>مستمر</t>
        </is>
      </c>
      <c r="H50" s="8" t="n">
        <v>0</v>
      </c>
      <c r="I50" s="8" t="n">
        <v>0</v>
      </c>
      <c r="J50" s="9">
        <f>H50+I50</f>
        <v/>
      </c>
      <c r="K50" s="8" t="n">
        <v>60</v>
      </c>
      <c r="L50" s="10">
        <f>K50-J50</f>
        <v/>
      </c>
      <c r="M50" s="10">
        <f>IF(K50&gt;0, J50/K50*100, "")</f>
        <v/>
      </c>
      <c r="N50" s="11" t="inlineStr"/>
    </row>
    <row r="51">
      <c r="A51" s="4" t="n">
        <v>55</v>
      </c>
      <c r="B51" s="5" t="inlineStr">
        <is>
          <t>يد مرايا خشب</t>
        </is>
      </c>
      <c r="C51" s="6" t="inlineStr">
        <is>
          <t>عرايس</t>
        </is>
      </c>
      <c r="D51" s="7" t="inlineStr">
        <is>
          <t>wood</t>
        </is>
      </c>
      <c r="E51" s="7" t="inlineStr">
        <is>
          <t>laser</t>
        </is>
      </c>
      <c r="F51" s="7" t="inlineStr">
        <is>
          <t>مستمر</t>
        </is>
      </c>
      <c r="G51" s="7" t="inlineStr">
        <is>
          <t>مستمر</t>
        </is>
      </c>
      <c r="H51" s="8" t="n">
        <v>0</v>
      </c>
      <c r="I51" s="8" t="n">
        <v>0</v>
      </c>
      <c r="J51" s="9">
        <f>H51+I51</f>
        <v/>
      </c>
      <c r="K51" s="8" t="n">
        <v>70</v>
      </c>
      <c r="L51" s="10">
        <f>K51-J51</f>
        <v/>
      </c>
      <c r="M51" s="10">
        <f>IF(K51&gt;0, J51/K51*100, "")</f>
        <v/>
      </c>
      <c r="N51" s="11" t="inlineStr"/>
    </row>
    <row r="52">
      <c r="A52" s="4" t="n">
        <v>56</v>
      </c>
      <c r="B52" s="5" t="inlineStr">
        <is>
          <t xml:space="preserve">بصامه </t>
        </is>
      </c>
      <c r="C52" s="6" t="inlineStr">
        <is>
          <t>عرايس</t>
        </is>
      </c>
      <c r="D52" s="7" t="inlineStr">
        <is>
          <t>wood</t>
        </is>
      </c>
      <c r="E52" s="7" t="inlineStr">
        <is>
          <t>laser</t>
        </is>
      </c>
      <c r="F52" s="7" t="inlineStr">
        <is>
          <t>مستمر</t>
        </is>
      </c>
      <c r="G52" s="7" t="inlineStr">
        <is>
          <t>مستمر</t>
        </is>
      </c>
      <c r="H52" s="8" t="n">
        <v>0</v>
      </c>
      <c r="I52" s="8" t="n">
        <v>0</v>
      </c>
      <c r="J52" s="9">
        <f>H52+I52</f>
        <v/>
      </c>
      <c r="K52" s="8" t="n">
        <v>160</v>
      </c>
      <c r="L52" s="10">
        <f>K52-J52</f>
        <v/>
      </c>
      <c r="M52" s="10">
        <f>IF(K52&gt;0, J52/K52*100, "")</f>
        <v/>
      </c>
      <c r="N52" s="11" t="inlineStr"/>
    </row>
    <row r="53">
      <c r="A53" s="4" t="n">
        <v>57</v>
      </c>
      <c r="B53" s="5" t="inlineStr">
        <is>
          <t xml:space="preserve">فانوس علاء الدين </t>
        </is>
      </c>
      <c r="C53" s="6" t="inlineStr">
        <is>
          <t>رمضان</t>
        </is>
      </c>
      <c r="D53" s="7" t="inlineStr">
        <is>
          <t>wood</t>
        </is>
      </c>
      <c r="E53" s="7" t="inlineStr">
        <is>
          <t>laser</t>
        </is>
      </c>
      <c r="F53" s="7" t="inlineStr">
        <is>
          <t>مستمر</t>
        </is>
      </c>
      <c r="G53" s="7" t="inlineStr">
        <is>
          <t>مستمر</t>
        </is>
      </c>
      <c r="H53" s="8" t="n">
        <v>0</v>
      </c>
      <c r="I53" s="8" t="n">
        <v>0</v>
      </c>
      <c r="J53" s="9">
        <f>H53+I53</f>
        <v/>
      </c>
      <c r="K53" s="8" t="n">
        <v>270</v>
      </c>
      <c r="L53" s="10">
        <f>K53-J53</f>
        <v/>
      </c>
      <c r="M53" s="10">
        <f>IF(K53&gt;0, J53/K53*100, "")</f>
        <v/>
      </c>
      <c r="N53" s="11" t="inlineStr"/>
    </row>
    <row r="54">
      <c r="A54" s="4" t="n">
        <v>58</v>
      </c>
      <c r="B54" s="5" t="inlineStr">
        <is>
          <t xml:space="preserve">فانوص 15 سم </t>
        </is>
      </c>
      <c r="C54" s="6" t="inlineStr">
        <is>
          <t>رمضان</t>
        </is>
      </c>
      <c r="D54" s="7" t="inlineStr">
        <is>
          <t>unknown</t>
        </is>
      </c>
      <c r="E54" s="7" t="inlineStr">
        <is>
          <t>unknown</t>
        </is>
      </c>
      <c r="F54" s="7" t="inlineStr"/>
      <c r="G54" s="7" t="n">
        <v>-48</v>
      </c>
      <c r="H54" s="8" t="n">
        <v>0</v>
      </c>
      <c r="I54" s="8" t="n">
        <v>0</v>
      </c>
      <c r="J54" s="9">
        <f>H54+I54</f>
        <v/>
      </c>
      <c r="K54" s="8" t="n">
        <v>20</v>
      </c>
      <c r="L54" s="10">
        <f>K54-J54</f>
        <v/>
      </c>
      <c r="M54" s="10">
        <f>IF(K54&gt;0, J54/K54*100, "")</f>
        <v/>
      </c>
      <c r="N54" s="11" t="inlineStr"/>
    </row>
    <row r="55">
      <c r="A55" s="4" t="n">
        <v>59</v>
      </c>
      <c r="B55" s="5" t="inlineStr">
        <is>
          <t xml:space="preserve">فانوس 60 سم </t>
        </is>
      </c>
      <c r="C55" s="6" t="inlineStr">
        <is>
          <t>رمضان</t>
        </is>
      </c>
      <c r="D55" s="7" t="inlineStr">
        <is>
          <t>wood</t>
        </is>
      </c>
      <c r="E55" s="7" t="inlineStr">
        <is>
          <t>laser</t>
        </is>
      </c>
      <c r="F55" s="7" t="inlineStr">
        <is>
          <t>مستمر</t>
        </is>
      </c>
      <c r="G55" s="7" t="inlineStr">
        <is>
          <t>مستمر</t>
        </is>
      </c>
      <c r="H55" s="8" t="n">
        <v>0</v>
      </c>
      <c r="I55" s="8" t="n">
        <v>0</v>
      </c>
      <c r="J55" s="9">
        <f>H55+I55</f>
        <v/>
      </c>
      <c r="K55" s="8" t="n">
        <v>150</v>
      </c>
      <c r="L55" s="10">
        <f>K55-J55</f>
        <v/>
      </c>
      <c r="M55" s="10">
        <f>IF(K55&gt;0, J55/K55*100, "")</f>
        <v/>
      </c>
      <c r="N55" s="11" t="inlineStr"/>
    </row>
    <row r="56">
      <c r="A56" s="4" t="n">
        <v>60</v>
      </c>
      <c r="B56" s="5" t="inlineStr">
        <is>
          <t xml:space="preserve">ماتور </t>
        </is>
      </c>
      <c r="C56" s="6" t="inlineStr">
        <is>
          <t>اكسسوارات</t>
        </is>
      </c>
      <c r="D56" s="7" t="inlineStr">
        <is>
          <t>unknown</t>
        </is>
      </c>
      <c r="E56" s="7" t="inlineStr">
        <is>
          <t>unknown</t>
        </is>
      </c>
      <c r="F56" s="7" t="inlineStr"/>
      <c r="G56" s="7" t="n">
        <v>0</v>
      </c>
      <c r="H56" s="8" t="n">
        <v>0</v>
      </c>
      <c r="I56" s="8" t="n">
        <v>0</v>
      </c>
      <c r="J56" s="9">
        <f>H56+I56</f>
        <v/>
      </c>
      <c r="K56" s="8" t="n">
        <v>50</v>
      </c>
      <c r="L56" s="10">
        <f>K56-J56</f>
        <v/>
      </c>
      <c r="M56" s="10">
        <f>IF(K56&gt;0, J56/K56*100, "")</f>
        <v/>
      </c>
      <c r="N56" s="11" t="inlineStr">
        <is>
          <t>جملة: 35.0 ج</t>
        </is>
      </c>
    </row>
    <row r="57">
      <c r="A57" s="4" t="n">
        <v>62</v>
      </c>
      <c r="B57" s="5" t="inlineStr">
        <is>
          <t>دومنه</t>
        </is>
      </c>
      <c r="C57" s="6" t="inlineStr">
        <is>
          <t>العاب</t>
        </is>
      </c>
      <c r="D57" s="7" t="inlineStr">
        <is>
          <t>unknown</t>
        </is>
      </c>
      <c r="E57" s="7" t="inlineStr">
        <is>
          <t>unknown</t>
        </is>
      </c>
      <c r="F57" s="7" t="inlineStr"/>
      <c r="G57" s="7" t="n">
        <v>-2</v>
      </c>
      <c r="H57" s="8" t="n">
        <v>0</v>
      </c>
      <c r="I57" s="8" t="n">
        <v>0</v>
      </c>
      <c r="J57" s="9">
        <f>H57+I57</f>
        <v/>
      </c>
      <c r="K57" s="8" t="n">
        <v>130</v>
      </c>
      <c r="L57" s="10">
        <f>K57-J57</f>
        <v/>
      </c>
      <c r="M57" s="10">
        <f>IF(K57&gt;0, J57/K57*100, "")</f>
        <v/>
      </c>
      <c r="N57" s="11" t="inlineStr"/>
    </row>
    <row r="58">
      <c r="A58" s="4" t="n">
        <v>63</v>
      </c>
      <c r="B58" s="5" t="inlineStr">
        <is>
          <t>فانوس ورده 35سم 2صوره</t>
        </is>
      </c>
      <c r="C58" s="6" t="inlineStr">
        <is>
          <t>رمضان</t>
        </is>
      </c>
      <c r="D58" s="7" t="inlineStr">
        <is>
          <t>wood</t>
        </is>
      </c>
      <c r="E58" s="7" t="inlineStr">
        <is>
          <t>laser</t>
        </is>
      </c>
      <c r="F58" s="7" t="inlineStr">
        <is>
          <t>مستمر</t>
        </is>
      </c>
      <c r="G58" s="7" t="inlineStr">
        <is>
          <t>مستمر</t>
        </is>
      </c>
      <c r="H58" s="8" t="n">
        <v>0</v>
      </c>
      <c r="I58" s="8" t="n">
        <v>0</v>
      </c>
      <c r="J58" s="9">
        <f>H58+I58</f>
        <v/>
      </c>
      <c r="K58" s="8" t="n">
        <v>80</v>
      </c>
      <c r="L58" s="10">
        <f>K58-J58</f>
        <v/>
      </c>
      <c r="M58" s="10">
        <f>IF(K58&gt;0, J58/K58*100, "")</f>
        <v/>
      </c>
      <c r="N58" s="11" t="inlineStr"/>
    </row>
    <row r="59">
      <c r="A59" s="4" t="n">
        <v>64</v>
      </c>
      <c r="B59" s="5" t="inlineStr">
        <is>
          <t>فانوس مربع</t>
        </is>
      </c>
      <c r="C59" s="6" t="inlineStr">
        <is>
          <t>رمضان</t>
        </is>
      </c>
      <c r="D59" s="7" t="inlineStr">
        <is>
          <t>wood</t>
        </is>
      </c>
      <c r="E59" s="7" t="inlineStr">
        <is>
          <t>laser</t>
        </is>
      </c>
      <c r="F59" s="7" t="inlineStr">
        <is>
          <t>مستمر</t>
        </is>
      </c>
      <c r="G59" s="7" t="inlineStr">
        <is>
          <t>مستمر</t>
        </is>
      </c>
      <c r="H59" s="8" t="n">
        <v>0</v>
      </c>
      <c r="I59" s="8" t="n">
        <v>0</v>
      </c>
      <c r="J59" s="9">
        <f>H59+I59</f>
        <v/>
      </c>
      <c r="K59" s="8" t="n">
        <v>70</v>
      </c>
      <c r="L59" s="10">
        <f>K59-J59</f>
        <v/>
      </c>
      <c r="M59" s="10">
        <f>IF(K59&gt;0, J59/K59*100, "")</f>
        <v/>
      </c>
      <c r="N59" s="11" t="inlineStr"/>
    </row>
    <row r="60">
      <c r="A60" s="4" t="n">
        <v>65</v>
      </c>
      <c r="B60" s="5" t="inlineStr">
        <is>
          <t>مبخرة رمضان  كبيره</t>
        </is>
      </c>
      <c r="C60" s="6" t="inlineStr"/>
      <c r="D60" s="7" t="inlineStr">
        <is>
          <t>unknown</t>
        </is>
      </c>
      <c r="E60" s="7" t="inlineStr">
        <is>
          <t>unknown</t>
        </is>
      </c>
      <c r="F60" s="7" t="inlineStr"/>
      <c r="G60" s="7" t="n">
        <v>-5</v>
      </c>
      <c r="H60" s="8" t="n">
        <v>0</v>
      </c>
      <c r="I60" s="8" t="n">
        <v>0</v>
      </c>
      <c r="J60" s="9">
        <f>H60+I60</f>
        <v/>
      </c>
      <c r="K60" s="8" t="n">
        <v>50</v>
      </c>
      <c r="L60" s="10">
        <f>K60-J60</f>
        <v/>
      </c>
      <c r="M60" s="10">
        <f>IF(K60&gt;0, J60/K60*100, "")</f>
        <v/>
      </c>
      <c r="N60" s="11" t="inlineStr"/>
    </row>
    <row r="61">
      <c r="A61" s="4" t="n">
        <v>66</v>
      </c>
      <c r="B61" s="5" t="inlineStr">
        <is>
          <t>مبخرة رمضان  صغير</t>
        </is>
      </c>
      <c r="C61" s="6" t="inlineStr">
        <is>
          <t>رمضان</t>
        </is>
      </c>
      <c r="D61" s="7" t="inlineStr">
        <is>
          <t>unknown</t>
        </is>
      </c>
      <c r="E61" s="7" t="inlineStr">
        <is>
          <t>unknown</t>
        </is>
      </c>
      <c r="F61" s="7" t="inlineStr"/>
      <c r="G61" s="7" t="n">
        <v>-4</v>
      </c>
      <c r="H61" s="8" t="n">
        <v>0</v>
      </c>
      <c r="I61" s="8" t="n">
        <v>0</v>
      </c>
      <c r="J61" s="9">
        <f>H61+I61</f>
        <v/>
      </c>
      <c r="K61" s="8" t="n">
        <v>40</v>
      </c>
      <c r="L61" s="10">
        <f>K61-J61</f>
        <v/>
      </c>
      <c r="M61" s="10">
        <f>IF(K61&gt;0, J61/K61*100, "")</f>
        <v/>
      </c>
      <c r="N61" s="11" t="inlineStr">
        <is>
          <t>جملة: 35.0 ج</t>
        </is>
      </c>
    </row>
    <row r="62">
      <c r="A62" s="4" t="n">
        <v>67</v>
      </c>
      <c r="B62" s="5" t="inlineStr">
        <is>
          <t xml:space="preserve">حصالة طباعه </t>
        </is>
      </c>
      <c r="C62" s="6" t="inlineStr">
        <is>
          <t>اكسسوارات</t>
        </is>
      </c>
      <c r="D62" s="7" t="inlineStr">
        <is>
          <t>unknown</t>
        </is>
      </c>
      <c r="E62" s="7" t="inlineStr">
        <is>
          <t>unknown</t>
        </is>
      </c>
      <c r="F62" s="7" t="inlineStr"/>
      <c r="G62" s="7" t="n">
        <v>-2</v>
      </c>
      <c r="H62" s="8" t="n">
        <v>0</v>
      </c>
      <c r="I62" s="8" t="n">
        <v>0</v>
      </c>
      <c r="J62" s="9">
        <f>H62+I62</f>
        <v/>
      </c>
      <c r="K62" s="8" t="n">
        <v>75</v>
      </c>
      <c r="L62" s="10">
        <f>K62-J62</f>
        <v/>
      </c>
      <c r="M62" s="10">
        <f>IF(K62&gt;0, J62/K62*100, "")</f>
        <v/>
      </c>
      <c r="N62" s="11" t="inlineStr"/>
    </row>
    <row r="63">
      <c r="A63" s="4" t="n">
        <v>68</v>
      </c>
      <c r="B63" s="5" t="inlineStr">
        <is>
          <t xml:space="preserve">فانوس جامع </t>
        </is>
      </c>
      <c r="C63" s="6" t="inlineStr">
        <is>
          <t>رمضان</t>
        </is>
      </c>
      <c r="D63" s="7" t="inlineStr">
        <is>
          <t>wood</t>
        </is>
      </c>
      <c r="E63" s="7" t="inlineStr">
        <is>
          <t>laser</t>
        </is>
      </c>
      <c r="F63" s="7" t="inlineStr">
        <is>
          <t>مستمر</t>
        </is>
      </c>
      <c r="G63" s="7" t="inlineStr">
        <is>
          <t>مستمر</t>
        </is>
      </c>
      <c r="H63" s="8" t="n">
        <v>0</v>
      </c>
      <c r="I63" s="8" t="n">
        <v>0</v>
      </c>
      <c r="J63" s="9">
        <f>H63+I63</f>
        <v/>
      </c>
      <c r="K63" s="8" t="n">
        <v>75</v>
      </c>
      <c r="L63" s="10">
        <f>K63-J63</f>
        <v/>
      </c>
      <c r="M63" s="10">
        <f>IF(K63&gt;0, J63/K63*100, "")</f>
        <v/>
      </c>
      <c r="N63" s="11" t="inlineStr"/>
    </row>
    <row r="64">
      <c r="A64" s="4" t="n">
        <v>69</v>
      </c>
      <c r="B64" s="5" t="inlineStr">
        <is>
          <t>يافطه خشب 35</t>
        </is>
      </c>
      <c r="C64" s="6" t="inlineStr">
        <is>
          <t>مكاتب</t>
        </is>
      </c>
      <c r="D64" s="7" t="inlineStr">
        <is>
          <t>wood</t>
        </is>
      </c>
      <c r="E64" s="7" t="inlineStr">
        <is>
          <t>laser</t>
        </is>
      </c>
      <c r="F64" s="7" t="inlineStr">
        <is>
          <t>مستمر</t>
        </is>
      </c>
      <c r="G64" s="7" t="inlineStr">
        <is>
          <t>مستمر</t>
        </is>
      </c>
      <c r="H64" s="8" t="n">
        <v>0</v>
      </c>
      <c r="I64" s="8" t="n">
        <v>0</v>
      </c>
      <c r="J64" s="9">
        <f>H64+I64</f>
        <v/>
      </c>
      <c r="K64" s="8" t="n">
        <v>85</v>
      </c>
      <c r="L64" s="10">
        <f>K64-J64</f>
        <v/>
      </c>
      <c r="M64" s="10">
        <f>IF(K64&gt;0, J64/K64*100, "")</f>
        <v/>
      </c>
      <c r="N64" s="11" t="inlineStr">
        <is>
          <t>جملة: 60.0 ج</t>
        </is>
      </c>
    </row>
    <row r="65">
      <c r="A65" s="4" t="n">
        <v>10000</v>
      </c>
      <c r="B65" s="5" t="inlineStr">
        <is>
          <t>فانوس مربعاتي</t>
        </is>
      </c>
      <c r="C65" s="6" t="inlineStr">
        <is>
          <t>رمضان</t>
        </is>
      </c>
      <c r="D65" s="7" t="inlineStr">
        <is>
          <t>wood</t>
        </is>
      </c>
      <c r="E65" s="7" t="inlineStr">
        <is>
          <t>laser</t>
        </is>
      </c>
      <c r="F65" s="7" t="inlineStr">
        <is>
          <t>مستمر</t>
        </is>
      </c>
      <c r="G65" s="7" t="inlineStr">
        <is>
          <t>مستمر</t>
        </is>
      </c>
      <c r="H65" s="8" t="n">
        <v>0</v>
      </c>
      <c r="I65" s="8" t="n">
        <v>0</v>
      </c>
      <c r="J65" s="9">
        <f>H65+I65</f>
        <v/>
      </c>
      <c r="K65" s="8" t="n">
        <v>100</v>
      </c>
      <c r="L65" s="10">
        <f>K65-J65</f>
        <v/>
      </c>
      <c r="M65" s="10">
        <f>IF(K65&gt;0, J65/K65*100, "")</f>
        <v/>
      </c>
      <c r="N65" s="11" t="inlineStr"/>
    </row>
    <row r="66">
      <c r="A66" s="4" t="n">
        <v>10001</v>
      </c>
      <c r="B66" s="5" t="inlineStr">
        <is>
          <t xml:space="preserve">فاوس رباعى 35 </t>
        </is>
      </c>
      <c r="C66" s="6" t="inlineStr">
        <is>
          <t>رمضان</t>
        </is>
      </c>
      <c r="D66" s="7" t="inlineStr">
        <is>
          <t>unknown</t>
        </is>
      </c>
      <c r="E66" s="7" t="inlineStr">
        <is>
          <t>unknown</t>
        </is>
      </c>
      <c r="F66" s="7" t="inlineStr"/>
      <c r="G66" s="7" t="n">
        <v>-14</v>
      </c>
      <c r="H66" s="8" t="n">
        <v>0</v>
      </c>
      <c r="I66" s="8" t="n">
        <v>0</v>
      </c>
      <c r="J66" s="9">
        <f>H66+I66</f>
        <v/>
      </c>
      <c r="K66" s="8" t="n">
        <v>85</v>
      </c>
      <c r="L66" s="10">
        <f>K66-J66</f>
        <v/>
      </c>
      <c r="M66" s="10">
        <f>IF(K66&gt;0, J66/K66*100, "")</f>
        <v/>
      </c>
      <c r="N66" s="11" t="inlineStr">
        <is>
          <t>جملة: 75.0 ج</t>
        </is>
      </c>
    </row>
    <row r="67">
      <c r="A67" s="4" t="n">
        <v>10002</v>
      </c>
      <c r="B67" s="5" t="inlineStr">
        <is>
          <t xml:space="preserve">تحويش مع ايه </t>
        </is>
      </c>
      <c r="C67" s="6" t="inlineStr">
        <is>
          <t>غير مصنف</t>
        </is>
      </c>
      <c r="D67" s="7" t="inlineStr">
        <is>
          <t>unknown</t>
        </is>
      </c>
      <c r="E67" s="7" t="inlineStr">
        <is>
          <t>unknown</t>
        </is>
      </c>
      <c r="F67" s="7" t="inlineStr"/>
      <c r="G67" s="7" t="n">
        <v>-2</v>
      </c>
      <c r="H67" s="8" t="n">
        <v>0</v>
      </c>
      <c r="I67" s="8" t="n">
        <v>0</v>
      </c>
      <c r="J67" s="9">
        <f>H67+I67</f>
        <v/>
      </c>
      <c r="K67" s="8" t="n">
        <v>600</v>
      </c>
      <c r="L67" s="10">
        <f>K67-J67</f>
        <v/>
      </c>
      <c r="M67" s="10">
        <f>IF(K67&gt;0, J67/K67*100, "")</f>
        <v/>
      </c>
      <c r="N67" s="11" t="inlineStr">
        <is>
          <t>جملة: 1.0 ج</t>
        </is>
      </c>
    </row>
    <row r="68">
      <c r="A68" s="4" t="n">
        <v>10003</v>
      </c>
      <c r="B68" s="5" t="inlineStr">
        <is>
          <t xml:space="preserve">فانوس منارة رمضان </t>
        </is>
      </c>
      <c r="C68" s="6" t="inlineStr">
        <is>
          <t>رمضان</t>
        </is>
      </c>
      <c r="D68" s="7" t="inlineStr">
        <is>
          <t>wood</t>
        </is>
      </c>
      <c r="E68" s="7" t="inlineStr">
        <is>
          <t>laser</t>
        </is>
      </c>
      <c r="F68" s="7" t="inlineStr">
        <is>
          <t>مستمر</t>
        </is>
      </c>
      <c r="G68" s="7" t="inlineStr">
        <is>
          <t>مستمر</t>
        </is>
      </c>
      <c r="H68" s="8" t="n">
        <v>0</v>
      </c>
      <c r="I68" s="8" t="n">
        <v>0</v>
      </c>
      <c r="J68" s="9">
        <f>H68+I68</f>
        <v/>
      </c>
      <c r="K68" s="8" t="n">
        <v>250</v>
      </c>
      <c r="L68" s="10">
        <f>K68-J68</f>
        <v/>
      </c>
      <c r="M68" s="10">
        <f>IF(K68&gt;0, J68/K68*100, "")</f>
        <v/>
      </c>
      <c r="N68" s="11" t="inlineStr">
        <is>
          <t>جملة: 200.0 ج</t>
        </is>
      </c>
    </row>
    <row r="69">
      <c r="A69" s="4" t="n">
        <v>10004</v>
      </c>
      <c r="B69" s="5" t="inlineStr">
        <is>
          <t>فانوس 90 سم</t>
        </is>
      </c>
      <c r="C69" s="6" t="inlineStr">
        <is>
          <t>رمضان</t>
        </is>
      </c>
      <c r="D69" s="7" t="inlineStr">
        <is>
          <t>wood</t>
        </is>
      </c>
      <c r="E69" s="7" t="inlineStr">
        <is>
          <t>laser</t>
        </is>
      </c>
      <c r="F69" s="7" t="inlineStr">
        <is>
          <t>مستمر</t>
        </is>
      </c>
      <c r="G69" s="7" t="inlineStr">
        <is>
          <t>مستمر</t>
        </is>
      </c>
      <c r="H69" s="8" t="n">
        <v>0</v>
      </c>
      <c r="I69" s="8" t="n">
        <v>0</v>
      </c>
      <c r="J69" s="9">
        <f>H69+I69</f>
        <v/>
      </c>
      <c r="K69" s="8" t="n">
        <v>180</v>
      </c>
      <c r="L69" s="10">
        <f>K69-J69</f>
        <v/>
      </c>
      <c r="M69" s="10">
        <f>IF(K69&gt;0, J69/K69*100, "")</f>
        <v/>
      </c>
      <c r="N69" s="11" t="inlineStr"/>
    </row>
    <row r="70">
      <c r="A70" s="4" t="n">
        <v>10005</v>
      </c>
      <c r="B70" s="5" t="inlineStr">
        <is>
          <t xml:space="preserve">طباعة منديل </t>
        </is>
      </c>
      <c r="C70" s="6" t="inlineStr">
        <is>
          <t>طباعة</t>
        </is>
      </c>
      <c r="D70" s="7" t="inlineStr">
        <is>
          <t>unknown</t>
        </is>
      </c>
      <c r="E70" s="7" t="inlineStr">
        <is>
          <t>unknown</t>
        </is>
      </c>
      <c r="F70" s="7" t="inlineStr"/>
      <c r="G70" s="7" t="n">
        <v>-3</v>
      </c>
      <c r="H70" s="8" t="n">
        <v>0</v>
      </c>
      <c r="I70" s="8" t="n">
        <v>0</v>
      </c>
      <c r="J70" s="9">
        <f>H70+I70</f>
        <v/>
      </c>
      <c r="K70" s="8" t="n">
        <v>25</v>
      </c>
      <c r="L70" s="10">
        <f>K70-J70</f>
        <v/>
      </c>
      <c r="M70" s="10">
        <f>IF(K70&gt;0, J70/K70*100, "")</f>
        <v/>
      </c>
      <c r="N70" s="11" t="inlineStr">
        <is>
          <t>جملة: 20.0 ج</t>
        </is>
      </c>
    </row>
    <row r="71">
      <c r="A71" s="4" t="n">
        <v>10006</v>
      </c>
      <c r="B71" s="5" t="inlineStr">
        <is>
          <t xml:space="preserve">كوستر بالاسم </t>
        </is>
      </c>
      <c r="C71" s="6" t="inlineStr">
        <is>
          <t>خشب/أسماء</t>
        </is>
      </c>
      <c r="D71" s="7" t="inlineStr">
        <is>
          <t>sublimation</t>
        </is>
      </c>
      <c r="E71" s="7" t="inlineStr">
        <is>
          <t>sublimation</t>
        </is>
      </c>
      <c r="F71" s="7" t="inlineStr">
        <is>
          <t>رصيد بالعدد</t>
        </is>
      </c>
      <c r="G71" s="7" t="n">
        <v>-1</v>
      </c>
      <c r="H71" s="8" t="n">
        <v>0</v>
      </c>
      <c r="I71" s="8" t="n">
        <v>0</v>
      </c>
      <c r="J71" s="9">
        <f>H71+I71</f>
        <v/>
      </c>
      <c r="K71" s="8" t="n">
        <v>30</v>
      </c>
      <c r="L71" s="10">
        <f>K71-J71</f>
        <v/>
      </c>
      <c r="M71" s="10">
        <f>IF(K71&gt;0, J71/K71*100, "")</f>
        <v/>
      </c>
      <c r="N71" s="11" t="inlineStr"/>
    </row>
    <row r="72">
      <c r="A72" s="4" t="n">
        <v>10007</v>
      </c>
      <c r="B72" s="5" t="inlineStr">
        <is>
          <t>فانوس مبخره كبير</t>
        </is>
      </c>
      <c r="C72" s="6" t="inlineStr">
        <is>
          <t>رمضان</t>
        </is>
      </c>
      <c r="D72" s="7" t="inlineStr">
        <is>
          <t>wood</t>
        </is>
      </c>
      <c r="E72" s="7" t="inlineStr">
        <is>
          <t>laser</t>
        </is>
      </c>
      <c r="F72" s="7" t="inlineStr">
        <is>
          <t>مستمر</t>
        </is>
      </c>
      <c r="G72" s="7" t="inlineStr">
        <is>
          <t>مستمر</t>
        </is>
      </c>
      <c r="H72" s="8" t="n">
        <v>0</v>
      </c>
      <c r="I72" s="8" t="n">
        <v>0</v>
      </c>
      <c r="J72" s="9">
        <f>H72+I72</f>
        <v/>
      </c>
      <c r="K72" s="8" t="n">
        <v>350</v>
      </c>
      <c r="L72" s="10">
        <f>K72-J72</f>
        <v/>
      </c>
      <c r="M72" s="10">
        <f>IF(K72&gt;0, J72/K72*100, "")</f>
        <v/>
      </c>
      <c r="N72" s="11" t="inlineStr"/>
    </row>
    <row r="73">
      <c r="A73" s="4" t="n">
        <v>10008</v>
      </c>
      <c r="B73" s="5" t="inlineStr">
        <is>
          <t xml:space="preserve">فانوس دواير </t>
        </is>
      </c>
      <c r="C73" s="6" t="inlineStr">
        <is>
          <t>رمضان</t>
        </is>
      </c>
      <c r="D73" s="7" t="inlineStr">
        <is>
          <t>wood</t>
        </is>
      </c>
      <c r="E73" s="7" t="inlineStr">
        <is>
          <t>laser</t>
        </is>
      </c>
      <c r="F73" s="7" t="inlineStr">
        <is>
          <t>مستمر</t>
        </is>
      </c>
      <c r="G73" s="7" t="inlineStr">
        <is>
          <t>مستمر</t>
        </is>
      </c>
      <c r="H73" s="8" t="n">
        <v>0</v>
      </c>
      <c r="I73" s="8" t="n">
        <v>0</v>
      </c>
      <c r="J73" s="9">
        <f>H73+I73</f>
        <v/>
      </c>
      <c r="K73" s="8" t="n">
        <v>130</v>
      </c>
      <c r="L73" s="10">
        <f>K73-J73</f>
        <v/>
      </c>
      <c r="M73" s="10">
        <f>IF(K73&gt;0, J73/K73*100, "")</f>
        <v/>
      </c>
      <c r="N73" s="11" t="inlineStr">
        <is>
          <t>جملة: 75.0 ج</t>
        </is>
      </c>
    </row>
    <row r="74">
      <c r="A74" s="4" t="n">
        <v>10009</v>
      </c>
      <c r="B74" s="5" t="inlineStr">
        <is>
          <t>كاب تخرج</t>
        </is>
      </c>
      <c r="C74" s="6" t="inlineStr">
        <is>
          <t>تخرج</t>
        </is>
      </c>
      <c r="D74" s="7" t="inlineStr">
        <is>
          <t>unknown</t>
        </is>
      </c>
      <c r="E74" s="7" t="inlineStr">
        <is>
          <t>unknown</t>
        </is>
      </c>
      <c r="F74" s="7" t="inlineStr"/>
      <c r="G74" s="7" t="n">
        <v>-21</v>
      </c>
      <c r="H74" s="8" t="n">
        <v>0</v>
      </c>
      <c r="I74" s="8" t="n">
        <v>0</v>
      </c>
      <c r="J74" s="9">
        <f>H74+I74</f>
        <v/>
      </c>
      <c r="K74" s="8" t="n">
        <v>90</v>
      </c>
      <c r="L74" s="10">
        <f>K74-J74</f>
        <v/>
      </c>
      <c r="M74" s="10">
        <f>IF(K74&gt;0, J74/K74*100, "")</f>
        <v/>
      </c>
      <c r="N74" s="11" t="inlineStr">
        <is>
          <t>جملة: 65.0 ج (approved: Fares — graduation cap: ~28% below retail)</t>
        </is>
      </c>
    </row>
    <row r="75">
      <c r="A75" s="4" t="n">
        <v>10010</v>
      </c>
      <c r="B75" s="5" t="inlineStr">
        <is>
          <t xml:space="preserve">فانوس ادوار </t>
        </is>
      </c>
      <c r="C75" s="6" t="inlineStr">
        <is>
          <t>رمضان</t>
        </is>
      </c>
      <c r="D75" s="7" t="inlineStr">
        <is>
          <t>wood</t>
        </is>
      </c>
      <c r="E75" s="7" t="inlineStr">
        <is>
          <t>laser</t>
        </is>
      </c>
      <c r="F75" s="7" t="inlineStr">
        <is>
          <t>مستمر</t>
        </is>
      </c>
      <c r="G75" s="7" t="inlineStr">
        <is>
          <t>مستمر</t>
        </is>
      </c>
      <c r="H75" s="8" t="n">
        <v>0</v>
      </c>
      <c r="I75" s="8" t="n">
        <v>0</v>
      </c>
      <c r="J75" s="9">
        <f>H75+I75</f>
        <v/>
      </c>
      <c r="K75" s="8" t="n">
        <v>75</v>
      </c>
      <c r="L75" s="10">
        <f>K75-J75</f>
        <v/>
      </c>
      <c r="M75" s="10">
        <f>IF(K75&gt;0, J75/K75*100, "")</f>
        <v/>
      </c>
      <c r="N75" s="11" t="inlineStr"/>
    </row>
    <row r="76">
      <c r="A76" s="4" t="n">
        <v>10011</v>
      </c>
      <c r="B76" s="5" t="inlineStr">
        <is>
          <t xml:space="preserve">وشاج ملكي </t>
        </is>
      </c>
      <c r="C76" s="6" t="inlineStr">
        <is>
          <t>تخرج</t>
        </is>
      </c>
      <c r="D76" s="7" t="inlineStr">
        <is>
          <t>unknown</t>
        </is>
      </c>
      <c r="E76" s="7" t="inlineStr">
        <is>
          <t>unknown</t>
        </is>
      </c>
      <c r="F76" s="7" t="inlineStr"/>
      <c r="G76" s="7" t="n">
        <v>-2</v>
      </c>
      <c r="H76" s="8" t="n">
        <v>0</v>
      </c>
      <c r="I76" s="8" t="n">
        <v>0</v>
      </c>
      <c r="J76" s="9">
        <f>H76+I76</f>
        <v/>
      </c>
      <c r="K76" s="8" t="n">
        <v>150</v>
      </c>
      <c r="L76" s="10">
        <f>K76-J76</f>
        <v/>
      </c>
      <c r="M76" s="10">
        <f>IF(K76&gt;0, J76/K76*100, "")</f>
        <v/>
      </c>
      <c r="N76" s="11" t="inlineStr">
        <is>
          <t>جملة: 115.0 ج (approved: Fares — royal shawl: ~23% below retail)</t>
        </is>
      </c>
    </row>
    <row r="77">
      <c r="A77" s="4" t="n">
        <v>10012</v>
      </c>
      <c r="B77" s="5" t="inlineStr">
        <is>
          <t>دبل كلر دهبي</t>
        </is>
      </c>
      <c r="C77" s="6" t="inlineStr">
        <is>
          <t>ليزر</t>
        </is>
      </c>
      <c r="D77" s="7" t="inlineStr">
        <is>
          <t>unknown</t>
        </is>
      </c>
      <c r="E77" s="7" t="inlineStr">
        <is>
          <t>unknown</t>
        </is>
      </c>
      <c r="F77" s="7" t="inlineStr"/>
      <c r="G77" s="7" t="n">
        <v>-9</v>
      </c>
      <c r="H77" s="8" t="n">
        <v>0</v>
      </c>
      <c r="I77" s="8" t="n">
        <v>0</v>
      </c>
      <c r="J77" s="9">
        <f>H77+I77</f>
        <v/>
      </c>
      <c r="K77" s="8" t="n">
        <v>15</v>
      </c>
      <c r="L77" s="10">
        <f>K77-J77</f>
        <v/>
      </c>
      <c r="M77" s="10">
        <f>IF(K77&gt;0, J77/K77*100, "")</f>
        <v/>
      </c>
      <c r="N77" s="11" t="inlineStr"/>
    </row>
    <row r="78">
      <c r="A78" s="4" t="n">
        <v>10013</v>
      </c>
      <c r="B78" s="5" t="inlineStr">
        <is>
          <t xml:space="preserve">بوكس العيد بدرج </t>
        </is>
      </c>
      <c r="C78" s="6" t="inlineStr">
        <is>
          <t>العيد</t>
        </is>
      </c>
      <c r="D78" s="7" t="inlineStr">
        <is>
          <t>wood</t>
        </is>
      </c>
      <c r="E78" s="7" t="inlineStr">
        <is>
          <t>laser</t>
        </is>
      </c>
      <c r="F78" s="7" t="inlineStr">
        <is>
          <t>مستمر</t>
        </is>
      </c>
      <c r="G78" s="7" t="inlineStr">
        <is>
          <t>مستمر</t>
        </is>
      </c>
      <c r="H78" s="8" t="n">
        <v>0</v>
      </c>
      <c r="I78" s="8" t="n">
        <v>0</v>
      </c>
      <c r="J78" s="9">
        <f>H78+I78</f>
        <v/>
      </c>
      <c r="K78" s="8" t="n">
        <v>140</v>
      </c>
      <c r="L78" s="10">
        <f>K78-J78</f>
        <v/>
      </c>
      <c r="M78" s="10">
        <f>IF(K78&gt;0, J78/K78*100, "")</f>
        <v/>
      </c>
      <c r="N78" s="11" t="inlineStr">
        <is>
          <t>جملة: 100.0 ج</t>
        </is>
      </c>
    </row>
    <row r="79">
      <c r="A79" s="4" t="n">
        <v>10014</v>
      </c>
      <c r="B79" s="5" t="inlineStr">
        <is>
          <t xml:space="preserve">بوكس العيد بكارت </t>
        </is>
      </c>
      <c r="C79" s="6" t="inlineStr">
        <is>
          <t>العيد</t>
        </is>
      </c>
      <c r="D79" s="7" t="inlineStr">
        <is>
          <t>wood</t>
        </is>
      </c>
      <c r="E79" s="7" t="inlineStr">
        <is>
          <t>laser</t>
        </is>
      </c>
      <c r="F79" s="7" t="inlineStr">
        <is>
          <t>مستمر</t>
        </is>
      </c>
      <c r="G79" s="7" t="inlineStr">
        <is>
          <t>مستمر</t>
        </is>
      </c>
      <c r="H79" s="8" t="n">
        <v>0</v>
      </c>
      <c r="I79" s="8" t="n">
        <v>0</v>
      </c>
      <c r="J79" s="9">
        <f>H79+I79</f>
        <v/>
      </c>
      <c r="K79" s="8" t="n">
        <v>75</v>
      </c>
      <c r="L79" s="10">
        <f>K79-J79</f>
        <v/>
      </c>
      <c r="M79" s="10">
        <f>IF(K79&gt;0, J79/K79*100, "")</f>
        <v/>
      </c>
      <c r="N79" s="11" t="inlineStr"/>
    </row>
    <row r="80">
      <c r="A80" s="4" t="n">
        <v>10015</v>
      </c>
      <c r="B80" s="5" t="inlineStr">
        <is>
          <t xml:space="preserve">بوكس العيد فيونكه </t>
        </is>
      </c>
      <c r="C80" s="6" t="inlineStr">
        <is>
          <t>العيد</t>
        </is>
      </c>
      <c r="D80" s="7" t="inlineStr">
        <is>
          <t>wood</t>
        </is>
      </c>
      <c r="E80" s="7" t="inlineStr">
        <is>
          <t>laser</t>
        </is>
      </c>
      <c r="F80" s="7" t="inlineStr">
        <is>
          <t>مستمر</t>
        </is>
      </c>
      <c r="G80" s="7" t="inlineStr">
        <is>
          <t>مستمر</t>
        </is>
      </c>
      <c r="H80" s="8" t="n">
        <v>0</v>
      </c>
      <c r="I80" s="8" t="n">
        <v>0</v>
      </c>
      <c r="J80" s="9">
        <f>H80+I80</f>
        <v/>
      </c>
      <c r="K80" s="8" t="n">
        <v>30</v>
      </c>
      <c r="L80" s="10">
        <f>K80-J80</f>
        <v/>
      </c>
      <c r="M80" s="10">
        <f>IF(K80&gt;0, J80/K80*100, "")</f>
        <v/>
      </c>
      <c r="N80" s="11" t="inlineStr"/>
    </row>
    <row r="81">
      <c r="A81" s="4" t="n">
        <v>10016</v>
      </c>
      <c r="B81" s="5" t="inlineStr">
        <is>
          <t>بورد العديه</t>
        </is>
      </c>
      <c r="C81" s="6" t="inlineStr">
        <is>
          <t>العيد</t>
        </is>
      </c>
      <c r="D81" s="7" t="inlineStr">
        <is>
          <t>unknown</t>
        </is>
      </c>
      <c r="E81" s="7" t="inlineStr">
        <is>
          <t>unknown</t>
        </is>
      </c>
      <c r="F81" s="7" t="inlineStr"/>
      <c r="G81" s="7" t="n">
        <v>-17</v>
      </c>
      <c r="H81" s="8" t="n">
        <v>0</v>
      </c>
      <c r="I81" s="8" t="n">
        <v>0</v>
      </c>
      <c r="J81" s="9">
        <f>H81+I81</f>
        <v/>
      </c>
      <c r="K81" s="8" t="n">
        <v>40</v>
      </c>
      <c r="L81" s="10">
        <f>K81-J81</f>
        <v/>
      </c>
      <c r="M81" s="10">
        <f>IF(K81&gt;0, J81/K81*100, "")</f>
        <v/>
      </c>
      <c r="N81" s="11" t="inlineStr"/>
    </row>
    <row r="82">
      <c r="A82" s="4" t="n">
        <v>10017</v>
      </c>
      <c r="B82" s="5" t="inlineStr">
        <is>
          <t>وردة العيد</t>
        </is>
      </c>
      <c r="C82" s="6" t="inlineStr">
        <is>
          <t>العيد</t>
        </is>
      </c>
      <c r="D82" s="7" t="inlineStr">
        <is>
          <t>unknown</t>
        </is>
      </c>
      <c r="E82" s="7" t="inlineStr">
        <is>
          <t>unknown</t>
        </is>
      </c>
      <c r="F82" s="7" t="inlineStr"/>
      <c r="G82" s="7" t="n">
        <v>-6</v>
      </c>
      <c r="H82" s="8" t="n">
        <v>0</v>
      </c>
      <c r="I82" s="8" t="n">
        <v>0</v>
      </c>
      <c r="J82" s="9">
        <f>H82+I82</f>
        <v/>
      </c>
      <c r="K82" s="8" t="n">
        <v>15</v>
      </c>
      <c r="L82" s="10">
        <f>K82-J82</f>
        <v/>
      </c>
      <c r="M82" s="10">
        <f>IF(K82&gt;0, J82/K82*100, "")</f>
        <v/>
      </c>
      <c r="N82" s="11" t="inlineStr"/>
    </row>
    <row r="83">
      <c r="A83" s="4" t="n">
        <v>10018</v>
      </c>
      <c r="B83" s="5" t="inlineStr">
        <is>
          <t>محفظة العيديه</t>
        </is>
      </c>
      <c r="C83" s="6" t="inlineStr">
        <is>
          <t>العيد</t>
        </is>
      </c>
      <c r="D83" s="7" t="inlineStr">
        <is>
          <t>engraving_ready</t>
        </is>
      </c>
      <c r="E83" s="7" t="inlineStr">
        <is>
          <t>engraving</t>
        </is>
      </c>
      <c r="F83" s="7" t="inlineStr">
        <is>
          <t>مستمر</t>
        </is>
      </c>
      <c r="G83" s="7" t="inlineStr">
        <is>
          <t>مستمر</t>
        </is>
      </c>
      <c r="H83" s="8" t="n">
        <v>0</v>
      </c>
      <c r="I83" s="8" t="n">
        <v>0</v>
      </c>
      <c r="J83" s="9">
        <f>H83+I83</f>
        <v/>
      </c>
      <c r="K83" s="8" t="n">
        <v>25</v>
      </c>
      <c r="L83" s="10">
        <f>K83-J83</f>
        <v/>
      </c>
      <c r="M83" s="10">
        <f>IF(K83&gt;0, J83/K83*100, "")</f>
        <v/>
      </c>
      <c r="N83" s="11" t="inlineStr">
        <is>
          <t>جملة: 20.0 ج</t>
        </is>
      </c>
    </row>
    <row r="84">
      <c r="A84" s="4" t="n">
        <v>10019</v>
      </c>
      <c r="B84" s="5" t="inlineStr">
        <is>
          <t>عرض المحفظة بالبوكس</t>
        </is>
      </c>
      <c r="C84" s="6" t="inlineStr">
        <is>
          <t>عروض</t>
        </is>
      </c>
      <c r="D84" s="7" t="inlineStr">
        <is>
          <t>needs_review</t>
        </is>
      </c>
      <c r="E84" s="7" t="inlineStr">
        <is>
          <t>needs_review</t>
        </is>
      </c>
      <c r="F84" s="7" t="inlineStr"/>
      <c r="G84" s="7" t="n">
        <v>-1</v>
      </c>
      <c r="H84" s="8" t="n">
        <v>0</v>
      </c>
      <c r="I84" s="8" t="n">
        <v>0</v>
      </c>
      <c r="J84" s="9">
        <f>H84+I84</f>
        <v/>
      </c>
      <c r="K84" s="8" t="n">
        <v>170</v>
      </c>
      <c r="L84" s="10">
        <f>K84-J84</f>
        <v/>
      </c>
      <c r="M84" s="10">
        <f>IF(K84&gt;0, J84/K84*100, "")</f>
        <v/>
      </c>
      <c r="N84" s="11" t="inlineStr"/>
    </row>
    <row r="85">
      <c r="A85" s="4" t="n">
        <v>10020</v>
      </c>
      <c r="B85" s="5" t="inlineStr">
        <is>
          <t>ستاند خشب</t>
        </is>
      </c>
      <c r="C85" s="6" t="inlineStr">
        <is>
          <t>ستاندات</t>
        </is>
      </c>
      <c r="D85" s="7" t="inlineStr">
        <is>
          <t>needs_review</t>
        </is>
      </c>
      <c r="E85" s="7" t="inlineStr">
        <is>
          <t>needs_review</t>
        </is>
      </c>
      <c r="F85" s="7" t="inlineStr"/>
      <c r="G85" s="7" t="n">
        <v>-39</v>
      </c>
      <c r="H85" s="8" t="n">
        <v>0</v>
      </c>
      <c r="I85" s="8" t="n">
        <v>0</v>
      </c>
      <c r="J85" s="9">
        <f>H85+I85</f>
        <v/>
      </c>
      <c r="K85" s="8" t="n">
        <v>80</v>
      </c>
      <c r="L85" s="10">
        <f>K85-J85</f>
        <v/>
      </c>
      <c r="M85" s="10">
        <f>IF(K85&gt;0, J85/K85*100, "")</f>
        <v/>
      </c>
      <c r="N85" s="11" t="inlineStr">
        <is>
          <t>جملة: 35.0 ج</t>
        </is>
      </c>
    </row>
    <row r="86">
      <c r="A86" s="4" t="n">
        <v>10021</v>
      </c>
      <c r="B86" s="5" t="inlineStr">
        <is>
          <t>كارت العديه خشب</t>
        </is>
      </c>
      <c r="C86" s="6" t="inlineStr">
        <is>
          <t>العيد</t>
        </is>
      </c>
      <c r="D86" s="7" t="inlineStr">
        <is>
          <t>wood</t>
        </is>
      </c>
      <c r="E86" s="7" t="inlineStr">
        <is>
          <t>laser</t>
        </is>
      </c>
      <c r="F86" s="7" t="inlineStr">
        <is>
          <t>مستمر</t>
        </is>
      </c>
      <c r="G86" s="7" t="inlineStr">
        <is>
          <t>مستمر</t>
        </is>
      </c>
      <c r="H86" s="8" t="n">
        <v>0</v>
      </c>
      <c r="I86" s="8" t="n">
        <v>0</v>
      </c>
      <c r="J86" s="9">
        <f>H86+I86</f>
        <v/>
      </c>
      <c r="K86" s="8" t="n">
        <v>5</v>
      </c>
      <c r="L86" s="10">
        <f>K86-J86</f>
        <v/>
      </c>
      <c r="M86" s="10">
        <f>IF(K86&gt;0, J86/K86*100, "")</f>
        <v/>
      </c>
      <c r="N86" s="11" t="inlineStr"/>
    </row>
    <row r="87">
      <c r="A87" s="4" t="n">
        <v>10022</v>
      </c>
      <c r="B87" s="5" t="inlineStr">
        <is>
          <t>منديل ستان</t>
        </is>
      </c>
      <c r="C87" s="6" t="inlineStr">
        <is>
          <t>عرايس</t>
        </is>
      </c>
      <c r="D87" s="7" t="inlineStr">
        <is>
          <t>unknown</t>
        </is>
      </c>
      <c r="E87" s="7" t="inlineStr">
        <is>
          <t>unknown</t>
        </is>
      </c>
      <c r="F87" s="7" t="inlineStr"/>
      <c r="G87" s="7" t="n">
        <v>-5</v>
      </c>
      <c r="H87" s="8" t="n">
        <v>0</v>
      </c>
      <c r="I87" s="8" t="n">
        <v>0</v>
      </c>
      <c r="J87" s="9">
        <f>H87+I87</f>
        <v/>
      </c>
      <c r="K87" s="8" t="n">
        <v>80</v>
      </c>
      <c r="L87" s="10">
        <f>K87-J87</f>
        <v/>
      </c>
      <c r="M87" s="10">
        <f>IF(K87&gt;0, J87/K87*100, "")</f>
        <v/>
      </c>
      <c r="N87" s="11" t="inlineStr">
        <is>
          <t>جملة: 75.0 ج</t>
        </is>
      </c>
    </row>
    <row r="88">
      <c r="A88" s="4" t="n">
        <v>10023</v>
      </c>
      <c r="B88" s="5" t="inlineStr">
        <is>
          <t>منتج جديد</t>
        </is>
      </c>
      <c r="C88" s="6" t="inlineStr">
        <is>
          <t>غير مصنف</t>
        </is>
      </c>
      <c r="D88" s="7" t="inlineStr">
        <is>
          <t>unknown</t>
        </is>
      </c>
      <c r="E88" s="7" t="inlineStr">
        <is>
          <t>unknown</t>
        </is>
      </c>
      <c r="F88" s="7" t="inlineStr"/>
      <c r="G88" s="7" t="n">
        <v>-2</v>
      </c>
      <c r="H88" s="8" t="n">
        <v>0</v>
      </c>
      <c r="I88" s="8" t="n">
        <v>0</v>
      </c>
      <c r="J88" s="9">
        <f>H88+I88</f>
        <v/>
      </c>
      <c r="K88" s="8" t="n">
        <v>25</v>
      </c>
      <c r="L88" s="10">
        <f>K88-J88</f>
        <v/>
      </c>
      <c r="M88" s="10">
        <f>IF(K88&gt;0, J88/K88*100, "")</f>
        <v/>
      </c>
      <c r="N88" s="11" t="inlineStr"/>
    </row>
    <row r="89">
      <c r="A89" s="4" t="n">
        <v>10024</v>
      </c>
      <c r="B89" s="5" t="inlineStr">
        <is>
          <t>تابلو 30x40</t>
        </is>
      </c>
      <c r="C89" s="6" t="inlineStr">
        <is>
          <t>30 -</t>
        </is>
      </c>
      <c r="D89" s="7" t="inlineStr">
        <is>
          <t>composite</t>
        </is>
      </c>
      <c r="E89" s="7" t="inlineStr">
        <is>
          <t>framing</t>
        </is>
      </c>
      <c r="F89" s="7" t="inlineStr">
        <is>
          <t>رصيد بالعدد</t>
        </is>
      </c>
      <c r="G89" s="7" t="n">
        <v>-13</v>
      </c>
      <c r="H89" s="8" t="n">
        <v>0</v>
      </c>
      <c r="I89" s="8" t="n">
        <v>0</v>
      </c>
      <c r="J89" s="9">
        <f>H89+I89</f>
        <v/>
      </c>
      <c r="K89" s="8" t="n">
        <v>100</v>
      </c>
      <c r="L89" s="10">
        <f>K89-J89</f>
        <v/>
      </c>
      <c r="M89" s="10">
        <f>IF(K89&gt;0, J89/K89*100, "")</f>
        <v/>
      </c>
      <c r="N89" s="11" t="inlineStr">
        <is>
          <t>خامة:tablou_bom_30x40؛ 30.0×40.0سم؛ شاسيه 30 + طباعة بحماية 70؛ BOM معتمد من المالك: تابلوه 30×40 = 100 ج</t>
        </is>
      </c>
    </row>
    <row r="90">
      <c r="A90" s="4" t="n">
        <v>10025</v>
      </c>
      <c r="B90" s="5" t="inlineStr">
        <is>
          <t xml:space="preserve">فنيل </t>
        </is>
      </c>
      <c r="C90" s="6" t="inlineStr">
        <is>
          <t>طباعة</t>
        </is>
      </c>
      <c r="D90" s="7" t="inlineStr">
        <is>
          <t>unknown</t>
        </is>
      </c>
      <c r="E90" s="7" t="inlineStr">
        <is>
          <t>unknown</t>
        </is>
      </c>
      <c r="F90" s="7" t="inlineStr"/>
      <c r="G90" s="7" t="n">
        <v>-2</v>
      </c>
      <c r="H90" s="8" t="n">
        <v>0</v>
      </c>
      <c r="I90" s="8" t="n">
        <v>0</v>
      </c>
      <c r="J90" s="9">
        <f>H90+I90</f>
        <v/>
      </c>
      <c r="K90" s="8" t="n">
        <v>50</v>
      </c>
      <c r="L90" s="10">
        <f>K90-J90</f>
        <v/>
      </c>
      <c r="M90" s="10">
        <f>IF(K90&gt;0, J90/K90*100, "")</f>
        <v/>
      </c>
      <c r="N90" s="11" t="inlineStr">
        <is>
          <t>جملة: 25.0 ج</t>
        </is>
      </c>
    </row>
    <row r="91">
      <c r="A91" s="4" t="n">
        <v>10026</v>
      </c>
      <c r="B91" s="5" t="inlineStr">
        <is>
          <t xml:space="preserve">حفر ليزر </t>
        </is>
      </c>
      <c r="C91" s="6" t="inlineStr">
        <is>
          <t>طباعه</t>
        </is>
      </c>
      <c r="D91" s="7" t="inlineStr">
        <is>
          <t>unknown</t>
        </is>
      </c>
      <c r="E91" s="7" t="inlineStr">
        <is>
          <t>laser</t>
        </is>
      </c>
      <c r="F91" s="7" t="inlineStr">
        <is>
          <t>مستمر</t>
        </is>
      </c>
      <c r="G91" s="7" t="inlineStr">
        <is>
          <t>مستمر</t>
        </is>
      </c>
      <c r="H91" s="8" t="n">
        <v>0</v>
      </c>
      <c r="I91" s="8" t="n">
        <v>0</v>
      </c>
      <c r="J91" s="9">
        <f>H91+I91</f>
        <v/>
      </c>
      <c r="K91" s="8" t="n">
        <v>20</v>
      </c>
      <c r="L91" s="10">
        <f>K91-J91</f>
        <v/>
      </c>
      <c r="M91" s="10">
        <f>IF(K91&gt;0, J91/K91*100, "")</f>
        <v/>
      </c>
      <c r="N91" s="11" t="inlineStr">
        <is>
          <t>جملة: 24.0 ج</t>
        </is>
      </c>
    </row>
    <row r="92">
      <c r="A92" s="4" t="n">
        <v>10027</v>
      </c>
      <c r="B92" s="5" t="inlineStr">
        <is>
          <t xml:space="preserve">درع خشب </t>
        </is>
      </c>
      <c r="C92" s="6" t="inlineStr">
        <is>
          <t>دروع</t>
        </is>
      </c>
      <c r="D92" s="7" t="inlineStr">
        <is>
          <t>needs_review</t>
        </is>
      </c>
      <c r="E92" s="7" t="inlineStr">
        <is>
          <t>needs_review</t>
        </is>
      </c>
      <c r="F92" s="7" t="inlineStr"/>
      <c r="G92" s="7" t="n">
        <v>-4</v>
      </c>
      <c r="H92" s="8" t="n">
        <v>0</v>
      </c>
      <c r="I92" s="8" t="n">
        <v>0</v>
      </c>
      <c r="J92" s="9">
        <f>H92+I92</f>
        <v/>
      </c>
      <c r="K92" s="8" t="n">
        <v>100</v>
      </c>
      <c r="L92" s="10">
        <f>K92-J92</f>
        <v/>
      </c>
      <c r="M92" s="10">
        <f>IF(K92&gt;0, J92/K92*100, "")</f>
        <v/>
      </c>
      <c r="N92" s="11" t="inlineStr">
        <is>
          <t>جملة: 70.0 ج</t>
        </is>
      </c>
    </row>
    <row r="93">
      <c r="A93" s="4" t="n">
        <v>10028</v>
      </c>
      <c r="B93" s="5" t="inlineStr">
        <is>
          <t xml:space="preserve">طقفم تخرج وشاح دهبي </t>
        </is>
      </c>
      <c r="C93" s="6" t="inlineStr">
        <is>
          <t>تخرج</t>
        </is>
      </c>
      <c r="D93" s="7" t="inlineStr">
        <is>
          <t>unknown</t>
        </is>
      </c>
      <c r="E93" s="7" t="inlineStr">
        <is>
          <t>unknown</t>
        </is>
      </c>
      <c r="F93" s="7" t="inlineStr"/>
      <c r="G93" s="7" t="n">
        <v>-1</v>
      </c>
      <c r="H93" s="8" t="n">
        <v>0</v>
      </c>
      <c r="I93" s="8" t="n">
        <v>0</v>
      </c>
      <c r="J93" s="9">
        <f>H93+I93</f>
        <v/>
      </c>
      <c r="K93" s="8" t="n">
        <v>300</v>
      </c>
      <c r="L93" s="10">
        <f>K93-J93</f>
        <v/>
      </c>
      <c r="M93" s="10">
        <f>IF(K93&gt;0, J93/K93*100, "")</f>
        <v/>
      </c>
      <c r="N93" s="11" t="inlineStr">
        <is>
          <t>جملة: 270.0 ج</t>
        </is>
      </c>
    </row>
    <row r="94">
      <c r="A94" s="4" t="n">
        <v>10029</v>
      </c>
      <c r="B94" s="5" t="inlineStr">
        <is>
          <t>ستيك تخرج</t>
        </is>
      </c>
      <c r="C94" s="6" t="inlineStr">
        <is>
          <t>تخرج</t>
        </is>
      </c>
      <c r="D94" s="7" t="inlineStr">
        <is>
          <t>unknown</t>
        </is>
      </c>
      <c r="E94" s="7" t="inlineStr">
        <is>
          <t>unknown</t>
        </is>
      </c>
      <c r="F94" s="7" t="inlineStr"/>
      <c r="G94" s="7" t="n">
        <v>-10</v>
      </c>
      <c r="H94" s="8" t="n">
        <v>0</v>
      </c>
      <c r="I94" s="8" t="n">
        <v>0</v>
      </c>
      <c r="J94" s="9">
        <f>H94+I94</f>
        <v/>
      </c>
      <c r="K94" s="8" t="n">
        <v>20</v>
      </c>
      <c r="L94" s="10">
        <f>K94-J94</f>
        <v/>
      </c>
      <c r="M94" s="10">
        <f>IF(K94&gt;0, J94/K94*100, "")</f>
        <v/>
      </c>
      <c r="N94" s="11" t="inlineStr"/>
    </row>
    <row r="95">
      <c r="A95" s="4" t="n">
        <v>10030</v>
      </c>
      <c r="B95" s="5" t="inlineStr">
        <is>
          <t xml:space="preserve">درع اكليرليك </t>
        </is>
      </c>
      <c r="C95" s="6" t="inlineStr">
        <is>
          <t>دروع</t>
        </is>
      </c>
      <c r="D95" s="7" t="inlineStr">
        <is>
          <t>acrylic</t>
        </is>
      </c>
      <c r="E95" s="7" t="inlineStr">
        <is>
          <t>laser</t>
        </is>
      </c>
      <c r="F95" s="7" t="inlineStr">
        <is>
          <t>مستمر</t>
        </is>
      </c>
      <c r="G95" s="7" t="inlineStr">
        <is>
          <t>مستمر</t>
        </is>
      </c>
      <c r="H95" s="8" t="n">
        <v>0</v>
      </c>
      <c r="I95" s="8" t="n">
        <v>0</v>
      </c>
      <c r="J95" s="9">
        <f>H95+I95</f>
        <v/>
      </c>
      <c r="K95" s="8" t="n">
        <v>170</v>
      </c>
      <c r="L95" s="10">
        <f>K95-J95</f>
        <v/>
      </c>
      <c r="M95" s="10">
        <f>IF(K95&gt;0, J95/K95*100, "")</f>
        <v/>
      </c>
      <c r="N95" s="11" t="inlineStr">
        <is>
          <t>خامة:acrylic_3mm_122x244؛ 20.0×15.0سم؛ هالك 15.0%؛ أبعاد افتراضية 20×15 سم للتشغيل التجريبي — عدّلها بأمر المالك</t>
        </is>
      </c>
    </row>
    <row r="96">
      <c r="A96" s="4" t="n">
        <v>10031</v>
      </c>
      <c r="B96" s="5" t="inlineStr">
        <is>
          <t xml:space="preserve">توزيعه خشب </t>
        </is>
      </c>
      <c r="C96" s="6" t="inlineStr">
        <is>
          <t xml:space="preserve">توزيعات </t>
        </is>
      </c>
      <c r="D96" s="7" t="inlineStr">
        <is>
          <t>wood</t>
        </is>
      </c>
      <c r="E96" s="7" t="inlineStr">
        <is>
          <t>laser</t>
        </is>
      </c>
      <c r="F96" s="7" t="inlineStr">
        <is>
          <t>مستمر</t>
        </is>
      </c>
      <c r="G96" s="7" t="inlineStr">
        <is>
          <t>مستمر</t>
        </is>
      </c>
      <c r="H96" s="8" t="n">
        <v>0</v>
      </c>
      <c r="I96" s="8" t="n">
        <v>0</v>
      </c>
      <c r="J96" s="9">
        <f>H96+I96</f>
        <v/>
      </c>
      <c r="K96" s="8" t="n">
        <v>5</v>
      </c>
      <c r="L96" s="10">
        <f>K96-J96</f>
        <v/>
      </c>
      <c r="M96" s="10">
        <f>IF(K96&gt;0, J96/K96*100, "")</f>
        <v/>
      </c>
      <c r="N96" s="11" t="inlineStr"/>
    </row>
    <row r="97">
      <c r="A97" s="4" t="n">
        <v>10032</v>
      </c>
      <c r="B97" s="5" t="inlineStr">
        <is>
          <t xml:space="preserve">لوحة مكتب طبقيتن </t>
        </is>
      </c>
      <c r="C97" s="6" t="inlineStr">
        <is>
          <t>مكتب</t>
        </is>
      </c>
      <c r="D97" s="7" t="inlineStr">
        <is>
          <t>unknown</t>
        </is>
      </c>
      <c r="E97" s="7" t="inlineStr">
        <is>
          <t>unknown</t>
        </is>
      </c>
      <c r="F97" s="7" t="inlineStr"/>
      <c r="G97" s="7" t="n">
        <v>-5</v>
      </c>
      <c r="H97" s="8" t="n">
        <v>0</v>
      </c>
      <c r="I97" s="8" t="n">
        <v>0</v>
      </c>
      <c r="J97" s="9">
        <f>H97+I97</f>
        <v/>
      </c>
      <c r="K97" s="8" t="n">
        <v>100</v>
      </c>
      <c r="L97" s="10">
        <f>K97-J97</f>
        <v/>
      </c>
      <c r="M97" s="10">
        <f>IF(K97&gt;0, J97/K97*100, "")</f>
        <v/>
      </c>
      <c r="N97" s="11" t="inlineStr">
        <is>
          <t>جملة: 90.0 ج</t>
        </is>
      </c>
    </row>
    <row r="98">
      <c r="A98" s="4" t="n">
        <v>10033</v>
      </c>
      <c r="B98" s="5" t="inlineStr">
        <is>
          <t>برياد خشب</t>
        </is>
      </c>
      <c r="C98" s="6" t="inlineStr">
        <is>
          <t>خشب/أسماء</t>
        </is>
      </c>
      <c r="D98" s="7" t="inlineStr">
        <is>
          <t>wood</t>
        </is>
      </c>
      <c r="E98" s="7" t="inlineStr">
        <is>
          <t>laser</t>
        </is>
      </c>
      <c r="F98" s="7" t="inlineStr">
        <is>
          <t>مستمر</t>
        </is>
      </c>
      <c r="G98" s="7" t="inlineStr">
        <is>
          <t>مستمر</t>
        </is>
      </c>
      <c r="H98" s="8" t="n">
        <v>0</v>
      </c>
      <c r="I98" s="8" t="n">
        <v>0</v>
      </c>
      <c r="J98" s="9">
        <f>H98+I98</f>
        <v/>
      </c>
      <c r="K98" s="8" t="n">
        <v>15</v>
      </c>
      <c r="L98" s="10">
        <f>K98-J98</f>
        <v/>
      </c>
      <c r="M98" s="10">
        <f>IF(K98&gt;0, J98/K98*100, "")</f>
        <v/>
      </c>
      <c r="N98" s="11" t="inlineStr"/>
    </row>
    <row r="99">
      <c r="A99" s="4" t="n">
        <v>10034</v>
      </c>
      <c r="B99" s="5" t="inlineStr">
        <is>
          <t xml:space="preserve">وشاح اسود </t>
        </is>
      </c>
      <c r="C99" s="6" t="inlineStr">
        <is>
          <t>تخرج</t>
        </is>
      </c>
      <c r="D99" s="7" t="inlineStr">
        <is>
          <t>unknown</t>
        </is>
      </c>
      <c r="E99" s="7" t="inlineStr">
        <is>
          <t>unknown</t>
        </is>
      </c>
      <c r="F99" s="7" t="inlineStr"/>
      <c r="G99" s="7" t="n">
        <v>-1</v>
      </c>
      <c r="H99" s="8" t="n">
        <v>0</v>
      </c>
      <c r="I99" s="8" t="n">
        <v>0</v>
      </c>
      <c r="J99" s="9">
        <f>H99+I99</f>
        <v/>
      </c>
      <c r="K99" s="8" t="n">
        <v>150</v>
      </c>
      <c r="L99" s="10">
        <f>K99-J99</f>
        <v/>
      </c>
      <c r="M99" s="10">
        <f>IF(K99&gt;0, J99/K99*100, "")</f>
        <v/>
      </c>
      <c r="N99" s="11" t="inlineStr">
        <is>
          <t>جملة: 120.0 ج (approved: Fares — black shawl: ~20% below retail)</t>
        </is>
      </c>
    </row>
    <row r="100">
      <c r="A100" s="4" t="n">
        <v>10036</v>
      </c>
      <c r="B100" s="5" t="inlineStr">
        <is>
          <t>بوكس ورد 30x40</t>
        </is>
      </c>
      <c r="C100" s="6" t="inlineStr">
        <is>
          <t>بوكسات/خشب</t>
        </is>
      </c>
      <c r="D100" s="7" t="inlineStr">
        <is>
          <t>wood</t>
        </is>
      </c>
      <c r="E100" s="7" t="inlineStr">
        <is>
          <t>laser</t>
        </is>
      </c>
      <c r="F100" s="7" t="inlineStr">
        <is>
          <t>مستمر</t>
        </is>
      </c>
      <c r="G100" s="7" t="inlineStr">
        <is>
          <t>مستمر</t>
        </is>
      </c>
      <c r="H100" s="8" t="n">
        <v>0</v>
      </c>
      <c r="I100" s="8" t="n">
        <v>0</v>
      </c>
      <c r="J100" s="9">
        <f>H100+I100</f>
        <v/>
      </c>
      <c r="K100" s="8" t="n">
        <v>250</v>
      </c>
      <c r="L100" s="10">
        <f>K100-J100</f>
        <v/>
      </c>
      <c r="M100" s="10">
        <f>IF(K100&gt;0, J100/K100*100, "")</f>
        <v/>
      </c>
      <c r="N100" s="11" t="inlineStr"/>
    </row>
    <row r="101">
      <c r="A101" s="4" t="n">
        <v>10037</v>
      </c>
      <c r="B101" s="5" t="inlineStr">
        <is>
          <t>روب تخرج</t>
        </is>
      </c>
      <c r="C101" s="6" t="inlineStr">
        <is>
          <t>تخرج</t>
        </is>
      </c>
      <c r="D101" s="7" t="inlineStr">
        <is>
          <t>unknown</t>
        </is>
      </c>
      <c r="E101" s="7" t="inlineStr">
        <is>
          <t>unknown</t>
        </is>
      </c>
      <c r="F101" s="7" t="inlineStr"/>
      <c r="G101" s="7" t="n">
        <v>-13</v>
      </c>
      <c r="H101" s="8" t="n">
        <v>0</v>
      </c>
      <c r="I101" s="8" t="n">
        <v>0</v>
      </c>
      <c r="J101" s="9">
        <f>H101+I101</f>
        <v/>
      </c>
      <c r="K101" s="8" t="n">
        <v>150</v>
      </c>
      <c r="L101" s="10">
        <f>K101-J101</f>
        <v/>
      </c>
      <c r="M101" s="10">
        <f>IF(K101&gt;0, J101/K101*100, "")</f>
        <v/>
      </c>
      <c r="N101" s="11" t="inlineStr"/>
    </row>
    <row r="102">
      <c r="A102" s="4" t="n">
        <v>10038</v>
      </c>
      <c r="B102" s="5" t="inlineStr">
        <is>
          <t>ختم</t>
        </is>
      </c>
      <c r="C102" s="6" t="inlineStr">
        <is>
          <t>اختام</t>
        </is>
      </c>
      <c r="D102" s="7" t="inlineStr">
        <is>
          <t>unknown</t>
        </is>
      </c>
      <c r="E102" s="7" t="inlineStr">
        <is>
          <t>unknown</t>
        </is>
      </c>
      <c r="F102" s="7" t="inlineStr"/>
      <c r="G102" s="7" t="n">
        <v>-4</v>
      </c>
      <c r="H102" s="8" t="n">
        <v>0</v>
      </c>
      <c r="I102" s="8" t="n">
        <v>0</v>
      </c>
      <c r="J102" s="9">
        <f>H102+I102</f>
        <v/>
      </c>
      <c r="K102" s="8" t="n">
        <v>150</v>
      </c>
      <c r="L102" s="10">
        <f>K102-J102</f>
        <v/>
      </c>
      <c r="M102" s="10">
        <f>IF(K102&gt;0, J102/K102*100, "")</f>
        <v/>
      </c>
      <c r="N102" s="11" t="inlineStr"/>
    </row>
    <row r="103">
      <c r="A103" s="4" t="n">
        <v>10039</v>
      </c>
      <c r="B103" s="5" t="inlineStr">
        <is>
          <t>منظم صلا</t>
        </is>
      </c>
      <c r="C103" s="6" t="inlineStr">
        <is>
          <t>غير مصنف</t>
        </is>
      </c>
      <c r="D103" s="7" t="inlineStr">
        <is>
          <t>unknown</t>
        </is>
      </c>
      <c r="E103" s="7" t="inlineStr">
        <is>
          <t>unknown</t>
        </is>
      </c>
      <c r="F103" s="7" t="inlineStr"/>
      <c r="G103" s="7" t="n">
        <v>-1</v>
      </c>
      <c r="H103" s="8" t="n">
        <v>0</v>
      </c>
      <c r="I103" s="8" t="n">
        <v>0</v>
      </c>
      <c r="J103" s="9">
        <f>H103+I103</f>
        <v/>
      </c>
      <c r="K103" s="8" t="n">
        <v>450</v>
      </c>
      <c r="L103" s="10">
        <f>K103-J103</f>
        <v/>
      </c>
      <c r="M103" s="10">
        <f>IF(K103&gt;0, J103/K103*100, "")</f>
        <v/>
      </c>
      <c r="N103" s="11" t="inlineStr"/>
    </row>
    <row r="104">
      <c r="A104" s="4" t="n">
        <v>10040</v>
      </c>
      <c r="B104" s="5" t="inlineStr">
        <is>
          <t>رول فوتو</t>
        </is>
      </c>
      <c r="C104" s="6" t="inlineStr">
        <is>
          <t>مستلزمات</t>
        </is>
      </c>
      <c r="D104" s="7" t="inlineStr">
        <is>
          <t>unknown</t>
        </is>
      </c>
      <c r="E104" s="7" t="inlineStr">
        <is>
          <t>unknown</t>
        </is>
      </c>
      <c r="F104" s="7" t="inlineStr"/>
      <c r="G104" s="7" t="n">
        <v>0</v>
      </c>
      <c r="H104" s="8" t="n">
        <v>0</v>
      </c>
      <c r="I104" s="8" t="n">
        <v>0</v>
      </c>
      <c r="J104" s="9">
        <f>H104+I104</f>
        <v/>
      </c>
      <c r="K104" s="8" t="n">
        <v>525</v>
      </c>
      <c r="L104" s="10">
        <f>K104-J104</f>
        <v/>
      </c>
      <c r="M104" s="10">
        <f>IF(K104&gt;0, J104/K104*100, "")</f>
        <v/>
      </c>
      <c r="N104" s="11" t="inlineStr"/>
    </row>
    <row r="105">
      <c r="A105" s="4" t="n">
        <v>10041</v>
      </c>
      <c r="B105" s="5" t="inlineStr">
        <is>
          <t xml:space="preserve">استاند زجاج </t>
        </is>
      </c>
      <c r="C105" s="6" t="inlineStr">
        <is>
          <t>زجاج</t>
        </is>
      </c>
      <c r="D105" s="7" t="inlineStr">
        <is>
          <t>acrylic</t>
        </is>
      </c>
      <c r="E105" s="7" t="inlineStr">
        <is>
          <t>laser</t>
        </is>
      </c>
      <c r="F105" s="7" t="inlineStr">
        <is>
          <t>مستمر</t>
        </is>
      </c>
      <c r="G105" s="7" t="inlineStr">
        <is>
          <t>مستمر</t>
        </is>
      </c>
      <c r="H105" s="8" t="n">
        <v>0</v>
      </c>
      <c r="I105" s="8" t="n">
        <v>0</v>
      </c>
      <c r="J105" s="9">
        <f>H105+I105</f>
        <v/>
      </c>
      <c r="K105" s="8" t="n">
        <v>100</v>
      </c>
      <c r="L105" s="10">
        <f>K105-J105</f>
        <v/>
      </c>
      <c r="M105" s="10">
        <f>IF(K105&gt;0, J105/K105*100, "")</f>
        <v/>
      </c>
      <c r="N105" s="11" t="inlineStr"/>
    </row>
    <row r="106">
      <c r="A106" s="4" t="n">
        <v>10042</v>
      </c>
      <c r="B106" s="5" t="inlineStr">
        <is>
          <t>جريده التخرج</t>
        </is>
      </c>
      <c r="C106" s="6" t="inlineStr">
        <is>
          <t>تخرج</t>
        </is>
      </c>
      <c r="D106" s="7" t="inlineStr">
        <is>
          <t>unknown</t>
        </is>
      </c>
      <c r="E106" s="7" t="inlineStr">
        <is>
          <t>unknown</t>
        </is>
      </c>
      <c r="F106" s="7" t="inlineStr"/>
      <c r="G106" s="7" t="n">
        <v>-1</v>
      </c>
      <c r="H106" s="8" t="n">
        <v>0</v>
      </c>
      <c r="I106" s="8" t="n">
        <v>0</v>
      </c>
      <c r="J106" s="9">
        <f>H106+I106</f>
        <v/>
      </c>
      <c r="K106" s="8" t="n">
        <v>75</v>
      </c>
      <c r="L106" s="10">
        <f>K106-J106</f>
        <v/>
      </c>
      <c r="M106" s="10">
        <f>IF(K106&gt;0, J106/K106*100, "")</f>
        <v/>
      </c>
      <c r="N106" s="11" t="inlineStr">
        <is>
          <t>جملة: 55.0 ج</t>
        </is>
      </c>
    </row>
    <row r="107">
      <c r="A107" s="4" t="n">
        <v>10043</v>
      </c>
      <c r="B107" s="5" t="inlineStr">
        <is>
          <t xml:space="preserve">مسطره 20 </t>
        </is>
      </c>
      <c r="C107" s="6" t="inlineStr">
        <is>
          <t>مدارس</t>
        </is>
      </c>
      <c r="D107" s="7" t="inlineStr">
        <is>
          <t>unknown</t>
        </is>
      </c>
      <c r="E107" s="7" t="inlineStr">
        <is>
          <t>unknown</t>
        </is>
      </c>
      <c r="F107" s="7" t="inlineStr"/>
      <c r="G107" s="7" t="n">
        <v>-68</v>
      </c>
      <c r="H107" s="8" t="n">
        <v>0</v>
      </c>
      <c r="I107" s="8" t="n">
        <v>0</v>
      </c>
      <c r="J107" s="9">
        <f>H107+I107</f>
        <v/>
      </c>
      <c r="K107" s="8" t="n">
        <v>15</v>
      </c>
      <c r="L107" s="10">
        <f>K107-J107</f>
        <v/>
      </c>
      <c r="M107" s="10">
        <f>IF(K107&gt;0, J107/K107*100, "")</f>
        <v/>
      </c>
      <c r="N107" s="11" t="inlineStr"/>
    </row>
    <row r="108">
      <c r="A108" s="4" t="n">
        <v>10044</v>
      </c>
      <c r="B108" s="5" t="inlineStr">
        <is>
          <t xml:space="preserve">سحابه </t>
        </is>
      </c>
      <c r="C108" s="6" t="inlineStr">
        <is>
          <t>غير مصنف</t>
        </is>
      </c>
      <c r="D108" s="7" t="inlineStr">
        <is>
          <t>unknown</t>
        </is>
      </c>
      <c r="E108" s="7" t="inlineStr">
        <is>
          <t>unknown</t>
        </is>
      </c>
      <c r="F108" s="7" t="inlineStr"/>
      <c r="G108" s="7" t="n">
        <v>-1</v>
      </c>
      <c r="H108" s="8" t="n">
        <v>0</v>
      </c>
      <c r="I108" s="8" t="n">
        <v>0</v>
      </c>
      <c r="J108" s="9">
        <f>H108+I108</f>
        <v/>
      </c>
      <c r="K108" s="8" t="n">
        <v>200</v>
      </c>
      <c r="L108" s="10">
        <f>K108-J108</f>
        <v/>
      </c>
      <c r="M108" s="10">
        <f>IF(K108&gt;0, J108/K108*100, "")</f>
        <v/>
      </c>
      <c r="N108" s="11" t="inlineStr"/>
    </row>
    <row r="109">
      <c r="A109" s="4" t="n">
        <v>41</v>
      </c>
      <c r="B109" s="5" t="inlineStr">
        <is>
          <t xml:space="preserve">فانوس سداسي  </t>
        </is>
      </c>
      <c r="C109" s="6" t="inlineStr">
        <is>
          <t>رمضان</t>
        </is>
      </c>
      <c r="D109" s="7" t="inlineStr">
        <is>
          <t>wood</t>
        </is>
      </c>
      <c r="E109" s="7" t="inlineStr">
        <is>
          <t>laser</t>
        </is>
      </c>
      <c r="F109" s="7" t="inlineStr">
        <is>
          <t>مستمر</t>
        </is>
      </c>
      <c r="G109" s="7" t="inlineStr">
        <is>
          <t>مستمر</t>
        </is>
      </c>
      <c r="H109" s="8" t="n">
        <v>60</v>
      </c>
      <c r="I109" s="8" t="n">
        <v>0</v>
      </c>
      <c r="J109" s="9">
        <f>H109+I109</f>
        <v/>
      </c>
      <c r="K109" s="8" t="n">
        <v>75</v>
      </c>
      <c r="L109" s="10">
        <f>K109-J109</f>
        <v/>
      </c>
      <c r="M109" s="10">
        <f>IF(K109&gt;0, J109/K109*100, "")</f>
        <v/>
      </c>
      <c r="N109" s="1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2:N109"/>
  <mergeCells count="1">
    <mergeCell ref="A1:N1"/>
  </mergeCells>
  <dataValidations count="3">
    <dataValidation sqref="D4:D109" showDropDown="0" showInputMessage="0" showErrorMessage="1" allowBlank="1" errorTitle="قيمة غير صالحة" error="اختر من قائمة أنواع الخامات" type="list">
      <formula1>"خشب MDF,أكريليك,مج سيراميك,جلد,مركب/فوتو+سلوفان,خشب/خامة,زجاج,حفر مباشر,قطع ليزر,أخرى"</formula1>
    </dataValidation>
    <dataValidation sqref="E4:E109" showDropDown="0" showInputMessage="0" showErrorMessage="1" allowBlank="1" errorTitle="قيمة غير صالحة" error="اختر من قائمة مسارات التشغيل" type="list">
      <formula1>"ليزر,سبلميشن,حفر مباشر,مركب فوتو وسلوفان,جاهز,قطع"</formula1>
    </dataValidation>
    <dataValidation sqref="F4:F109" showDropDown="0" showInputMessage="0" showErrorMessage="1" allowBlank="1" errorTitle="قيمة غير صالحة" error="اختر نوع المخزون" type="list">
      <formula1>"مستمر,رصيد بالعدد"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2026-10-14T10:44:05Z</dcterms:created>
  <dcterms:modified xsi:type="dcterms:W3CDTF">2026-10-25T02:35:18Z</dcterms:modified>
</cp:coreProperties>
</file>